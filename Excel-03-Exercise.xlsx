
<file path=[Content_Types].xml><?xml version="1.0" encoding="utf-8"?>
<Types xmlns="http://schemas.openxmlformats.org/package/2006/content-types"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trlProps/ctrlProp1.xml" ContentType="application/vnd.ms-excel.controlproperties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3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drawings/drawing2.xml" ContentType="application/vnd.openxmlformats-officedocument.drawing+xml"/>
  <Override PartName="/xl/ctrlProps/ctrlProp2.xml" ContentType="application/vnd.ms-excel.controlpropertie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9725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Users\dengc\Desktop\cs artificial intelligence\2026semester1\stats779\"/>
    </mc:Choice>
  </mc:AlternateContent>
  <xr:revisionPtr revIDLastSave="0" documentId="13_ncr:1_{88DC107A-A5A8-45C5-AF70-5461B6DA5B62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Binomial" sheetId="1" r:id="rId1"/>
    <sheet name="Sheet1" sheetId="2" r:id="rId2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G11" i="1" l="1"/>
  <c r="G12" i="1"/>
  <c r="G13" i="1"/>
  <c r="G14" i="1"/>
  <c r="G15" i="1"/>
  <c r="G16" i="1"/>
  <c r="G17" i="1"/>
  <c r="G18" i="1"/>
  <c r="G19" i="1"/>
  <c r="G20" i="1"/>
  <c r="G21" i="1"/>
  <c r="G22" i="1"/>
  <c r="G23" i="1"/>
  <c r="G24" i="1"/>
  <c r="G25" i="1"/>
  <c r="G26" i="1"/>
  <c r="G27" i="1"/>
  <c r="G28" i="1"/>
  <c r="G10" i="1"/>
  <c r="F11" i="1"/>
  <c r="F12" i="1"/>
  <c r="F13" i="1"/>
  <c r="F14" i="1"/>
  <c r="F15" i="1"/>
  <c r="F16" i="1"/>
  <c r="F17" i="1"/>
  <c r="F18" i="1"/>
  <c r="F19" i="1"/>
  <c r="F20" i="1"/>
  <c r="F21" i="1"/>
  <c r="F22" i="1"/>
  <c r="F23" i="1"/>
  <c r="F24" i="1"/>
  <c r="F25" i="1"/>
  <c r="F26" i="1"/>
  <c r="F27" i="1"/>
  <c r="F28" i="1"/>
  <c r="F10" i="1"/>
  <c r="B3" i="1"/>
  <c r="B4" i="1"/>
  <c r="B5" i="1"/>
  <c r="B6" i="1"/>
  <c r="B7" i="1"/>
  <c r="B8" i="1"/>
  <c r="B9" i="1"/>
  <c r="B10" i="1"/>
  <c r="B11" i="1"/>
  <c r="B12" i="1"/>
  <c r="B13" i="1"/>
  <c r="B14" i="1"/>
  <c r="B15" i="1"/>
  <c r="B16" i="1"/>
  <c r="B17" i="1"/>
  <c r="B18" i="1"/>
  <c r="B19" i="1"/>
  <c r="B20" i="1"/>
  <c r="B21" i="1"/>
  <c r="B22" i="1"/>
  <c r="B23" i="1"/>
  <c r="B24" i="1"/>
  <c r="B25" i="1"/>
  <c r="B26" i="1"/>
  <c r="B27" i="1"/>
  <c r="B28" i="1"/>
  <c r="B29" i="1"/>
  <c r="B30" i="1"/>
  <c r="B31" i="1"/>
  <c r="B32" i="1"/>
  <c r="B33" i="1"/>
  <c r="B34" i="1"/>
  <c r="B35" i="1"/>
  <c r="B36" i="1"/>
  <c r="B37" i="1"/>
  <c r="B38" i="1"/>
  <c r="B39" i="1"/>
  <c r="B40" i="1"/>
  <c r="B41" i="1"/>
  <c r="B42" i="1"/>
  <c r="B43" i="1"/>
  <c r="B44" i="1"/>
  <c r="B45" i="1"/>
  <c r="B46" i="1"/>
  <c r="B47" i="1"/>
  <c r="B48" i="1"/>
  <c r="B49" i="1"/>
  <c r="B50" i="1"/>
  <c r="B51" i="1"/>
  <c r="B2" i="1"/>
  <c r="F5" i="1" l="1"/>
</calcChain>
</file>

<file path=xl/sharedStrings.xml><?xml version="1.0" encoding="utf-8"?>
<sst xmlns="http://schemas.openxmlformats.org/spreadsheetml/2006/main" count="7" uniqueCount="6">
  <si>
    <t>x</t>
  </si>
  <si>
    <t>prob(%)</t>
    <phoneticPr fontId="1" type="noConversion"/>
  </si>
  <si>
    <t>n</t>
    <phoneticPr fontId="1" type="noConversion"/>
  </si>
  <si>
    <t>loglik</t>
    <phoneticPr fontId="1" type="noConversion"/>
  </si>
  <si>
    <t>popn propn</t>
    <phoneticPr fontId="1" type="noConversion"/>
  </si>
  <si>
    <t>emp.propn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</si>
</sst>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宋体"/>
      <family val="2"/>
      <scheme val="minor"/>
    </font>
    <font>
      <sz val="9"/>
      <name val="宋体"/>
      <family val="3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zh-CN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0"/>
    <c:plotArea>
      <c:layout/>
      <c:scatterChart>
        <c:scatterStyle val="lineMarker"/>
        <c:varyColors val="0"/>
        <c:ser>
          <c:idx val="0"/>
          <c:order val="0"/>
          <c:spPr>
            <a:ln w="28575">
              <a:noFill/>
            </a:ln>
          </c:spPr>
          <c:xVal>
            <c:numRef>
              <c:f>Sheet1!#REF!</c:f>
            </c:numRef>
          </c:xVal>
          <c:yVal>
            <c:numRef>
              <c:f>Sheet1!#REF!</c:f>
              <c:numCache>
                <c:formatCode>General</c:formatCode>
                <c:ptCount val="1"/>
                <c:pt idx="0">
                  <c:v>1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4795-0C4A-B9F6-8523E4B599B0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340002608"/>
        <c:axId val="340004960"/>
      </c:scatterChart>
      <c:valAx>
        <c:axId val="340002608"/>
        <c:scaling>
          <c:orientation val="minMax"/>
        </c:scaling>
        <c:delete val="0"/>
        <c:axPos val="b"/>
        <c:numFmt formatCode="General" sourceLinked="1"/>
        <c:majorTickMark val="out"/>
        <c:minorTickMark val="none"/>
        <c:tickLblPos val="nextTo"/>
        <c:crossAx val="340004960"/>
        <c:crosses val="autoZero"/>
        <c:crossBetween val="midCat"/>
      </c:valAx>
      <c:valAx>
        <c:axId val="340004960"/>
        <c:scaling>
          <c:orientation val="minMax"/>
        </c:scaling>
        <c:delete val="0"/>
        <c:axPos val="l"/>
        <c:numFmt formatCode="General" sourceLinked="1"/>
        <c:majorTickMark val="out"/>
        <c:minorTickMark val="none"/>
        <c:tickLblPos val="nextTo"/>
        <c:crossAx val="340002608"/>
        <c:crosses val="autoZero"/>
        <c:crossBetween val="midCat"/>
      </c:valAx>
    </c:plotArea>
    <c:plotVisOnly val="1"/>
    <c:dispBlanksAs val="gap"/>
    <c:showDLblsOverMax val="0"/>
  </c:chart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zh-CN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NZ" altLang="zh-CN"/>
              <a:t>popn</a:t>
            </a:r>
            <a:r>
              <a:rPr lang="en-NZ" altLang="zh-CN" baseline="0"/>
              <a:t> proprability</a:t>
            </a:r>
            <a:endParaRPr lang="zh-CN" altLang="en-US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zh-CN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numRef>
              <c:f>Binomial!$E$10:$E$28</c:f>
              <c:numCache>
                <c:formatCode>General</c:formatCode>
                <c:ptCount val="19"/>
                <c:pt idx="0">
                  <c:v>0</c:v>
                </c:pt>
                <c:pt idx="1">
                  <c:v>1</c:v>
                </c:pt>
                <c:pt idx="2">
                  <c:v>2</c:v>
                </c:pt>
                <c:pt idx="3">
                  <c:v>3</c:v>
                </c:pt>
                <c:pt idx="4">
                  <c:v>4</c:v>
                </c:pt>
                <c:pt idx="5">
                  <c:v>5</c:v>
                </c:pt>
                <c:pt idx="6">
                  <c:v>6</c:v>
                </c:pt>
                <c:pt idx="7">
                  <c:v>7</c:v>
                </c:pt>
                <c:pt idx="8">
                  <c:v>8</c:v>
                </c:pt>
                <c:pt idx="9">
                  <c:v>9</c:v>
                </c:pt>
                <c:pt idx="10">
                  <c:v>10</c:v>
                </c:pt>
                <c:pt idx="11">
                  <c:v>11</c:v>
                </c:pt>
                <c:pt idx="12">
                  <c:v>12</c:v>
                </c:pt>
                <c:pt idx="13">
                  <c:v>13</c:v>
                </c:pt>
                <c:pt idx="14">
                  <c:v>14</c:v>
                </c:pt>
                <c:pt idx="15">
                  <c:v>15</c:v>
                </c:pt>
                <c:pt idx="16">
                  <c:v>16</c:v>
                </c:pt>
                <c:pt idx="17">
                  <c:v>17</c:v>
                </c:pt>
                <c:pt idx="18">
                  <c:v>18</c:v>
                </c:pt>
              </c:numCache>
            </c:numRef>
          </c:cat>
          <c:val>
            <c:numRef>
              <c:f>Binomial!$F$10:$F$28</c:f>
              <c:numCache>
                <c:formatCode>General</c:formatCode>
                <c:ptCount val="19"/>
                <c:pt idx="0">
                  <c:v>1.6890053810563303E-8</c:v>
                </c:pt>
                <c:pt idx="1">
                  <c:v>5.1765732489672427E-7</c:v>
                </c:pt>
                <c:pt idx="2">
                  <c:v>7.4920404724917686E-6</c:v>
                </c:pt>
                <c:pt idx="3">
                  <c:v>6.8035826993438894E-5</c:v>
                </c:pt>
                <c:pt idx="4">
                  <c:v>4.3441794938378181E-4</c:v>
                </c:pt>
                <c:pt idx="5">
                  <c:v>2.0711169262513265E-3</c:v>
                </c:pt>
                <c:pt idx="6">
                  <c:v>7.6407421738731362E-3</c:v>
                </c:pt>
                <c:pt idx="7">
                  <c:v>2.2302706885900001E-2</c:v>
                </c:pt>
                <c:pt idx="8">
                  <c:v>5.2215459026786072E-2</c:v>
                </c:pt>
                <c:pt idx="9">
                  <c:v>9.8786003564189817E-2</c:v>
                </c:pt>
                <c:pt idx="10">
                  <c:v>0.15138287573215037</c:v>
                </c:pt>
                <c:pt idx="11">
                  <c:v>0.18746184120148351</c:v>
                </c:pt>
                <c:pt idx="12">
                  <c:v>0.18619520713931134</c:v>
                </c:pt>
                <c:pt idx="13">
                  <c:v>0.14632388419679768</c:v>
                </c:pt>
                <c:pt idx="14">
                  <c:v>8.8980740389944538E-2</c:v>
                </c:pt>
                <c:pt idx="15">
                  <c:v>4.040206590678562E-2</c:v>
                </c:pt>
                <c:pt idx="16">
                  <c:v>1.2898632527673115E-2</c:v>
                </c:pt>
                <c:pt idx="17">
                  <c:v>2.5838278195338803E-3</c:v>
                </c:pt>
                <c:pt idx="18">
                  <c:v>2.444161450910432E-4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876D-4852-9F14-73E1CBBE7AD4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660468096"/>
        <c:axId val="660459936"/>
      </c:barChart>
      <c:catAx>
        <c:axId val="660468096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zh-CN"/>
          </a:p>
        </c:txPr>
        <c:crossAx val="660459936"/>
        <c:crosses val="autoZero"/>
        <c:auto val="1"/>
        <c:lblAlgn val="ctr"/>
        <c:lblOffset val="100"/>
        <c:noMultiLvlLbl val="0"/>
      </c:catAx>
      <c:valAx>
        <c:axId val="660459936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zh-CN"/>
          </a:p>
        </c:txPr>
        <c:crossAx val="660468096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zh-CN"/>
    </a:p>
  </c:txPr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zh-CN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NZ" altLang="zh-CN"/>
              <a:t>MAXIMIZE</a:t>
            </a:r>
            <a:r>
              <a:rPr lang="en-NZ" altLang="zh-CN" baseline="0"/>
              <a:t> </a:t>
            </a:r>
            <a:r>
              <a:rPr lang="en-NZ" altLang="zh-CN"/>
              <a:t>LIKELIHOOD</a:t>
            </a:r>
            <a:endParaRPr lang="zh-CN" altLang="en-US"/>
          </a:p>
        </c:rich>
      </c:tx>
      <c:layout>
        <c:manualLayout>
          <c:xMode val="edge"/>
          <c:yMode val="edge"/>
          <c:x val="0.32816666666666661"/>
          <c:y val="2.7777777777777776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zh-CN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numRef>
              <c:f>Binomial!$E$10:$E$28</c:f>
              <c:numCache>
                <c:formatCode>General</c:formatCode>
                <c:ptCount val="19"/>
                <c:pt idx="0">
                  <c:v>0</c:v>
                </c:pt>
                <c:pt idx="1">
                  <c:v>1</c:v>
                </c:pt>
                <c:pt idx="2">
                  <c:v>2</c:v>
                </c:pt>
                <c:pt idx="3">
                  <c:v>3</c:v>
                </c:pt>
                <c:pt idx="4">
                  <c:v>4</c:v>
                </c:pt>
                <c:pt idx="5">
                  <c:v>5</c:v>
                </c:pt>
                <c:pt idx="6">
                  <c:v>6</c:v>
                </c:pt>
                <c:pt idx="7">
                  <c:v>7</c:v>
                </c:pt>
                <c:pt idx="8">
                  <c:v>8</c:v>
                </c:pt>
                <c:pt idx="9">
                  <c:v>9</c:v>
                </c:pt>
                <c:pt idx="10">
                  <c:v>10</c:v>
                </c:pt>
                <c:pt idx="11">
                  <c:v>11</c:v>
                </c:pt>
                <c:pt idx="12">
                  <c:v>12</c:v>
                </c:pt>
                <c:pt idx="13">
                  <c:v>13</c:v>
                </c:pt>
                <c:pt idx="14">
                  <c:v>14</c:v>
                </c:pt>
                <c:pt idx="15">
                  <c:v>15</c:v>
                </c:pt>
                <c:pt idx="16">
                  <c:v>16</c:v>
                </c:pt>
                <c:pt idx="17">
                  <c:v>17</c:v>
                </c:pt>
                <c:pt idx="18">
                  <c:v>18</c:v>
                </c:pt>
              </c:numCache>
            </c:numRef>
          </c:cat>
          <c:val>
            <c:numRef>
              <c:f>Binomial!$F$10:$F$28</c:f>
              <c:numCache>
                <c:formatCode>General</c:formatCode>
                <c:ptCount val="19"/>
                <c:pt idx="0">
                  <c:v>1.6890053810563303E-8</c:v>
                </c:pt>
                <c:pt idx="1">
                  <c:v>5.1765732489672427E-7</c:v>
                </c:pt>
                <c:pt idx="2">
                  <c:v>7.4920404724917686E-6</c:v>
                </c:pt>
                <c:pt idx="3">
                  <c:v>6.8035826993438894E-5</c:v>
                </c:pt>
                <c:pt idx="4">
                  <c:v>4.3441794938378181E-4</c:v>
                </c:pt>
                <c:pt idx="5">
                  <c:v>2.0711169262513265E-3</c:v>
                </c:pt>
                <c:pt idx="6">
                  <c:v>7.6407421738731362E-3</c:v>
                </c:pt>
                <c:pt idx="7">
                  <c:v>2.2302706885900001E-2</c:v>
                </c:pt>
                <c:pt idx="8">
                  <c:v>5.2215459026786072E-2</c:v>
                </c:pt>
                <c:pt idx="9">
                  <c:v>9.8786003564189817E-2</c:v>
                </c:pt>
                <c:pt idx="10">
                  <c:v>0.15138287573215037</c:v>
                </c:pt>
                <c:pt idx="11">
                  <c:v>0.18746184120148351</c:v>
                </c:pt>
                <c:pt idx="12">
                  <c:v>0.18619520713931134</c:v>
                </c:pt>
                <c:pt idx="13">
                  <c:v>0.14632388419679768</c:v>
                </c:pt>
                <c:pt idx="14">
                  <c:v>8.8980740389944538E-2</c:v>
                </c:pt>
                <c:pt idx="15">
                  <c:v>4.040206590678562E-2</c:v>
                </c:pt>
                <c:pt idx="16">
                  <c:v>1.2898632527673115E-2</c:v>
                </c:pt>
                <c:pt idx="17">
                  <c:v>2.5838278195338803E-3</c:v>
                </c:pt>
                <c:pt idx="18">
                  <c:v>2.444161450910432E-4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D35D-4757-B959-77A67EE2583D}"/>
            </c:ext>
          </c:extLst>
        </c:ser>
        <c:ser>
          <c:idx val="1"/>
          <c:order val="1"/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cat>
            <c:numRef>
              <c:f>Binomial!$E$10:$E$28</c:f>
              <c:numCache>
                <c:formatCode>General</c:formatCode>
                <c:ptCount val="19"/>
                <c:pt idx="0">
                  <c:v>0</c:v>
                </c:pt>
                <c:pt idx="1">
                  <c:v>1</c:v>
                </c:pt>
                <c:pt idx="2">
                  <c:v>2</c:v>
                </c:pt>
                <c:pt idx="3">
                  <c:v>3</c:v>
                </c:pt>
                <c:pt idx="4">
                  <c:v>4</c:v>
                </c:pt>
                <c:pt idx="5">
                  <c:v>5</c:v>
                </c:pt>
                <c:pt idx="6">
                  <c:v>6</c:v>
                </c:pt>
                <c:pt idx="7">
                  <c:v>7</c:v>
                </c:pt>
                <c:pt idx="8">
                  <c:v>8</c:v>
                </c:pt>
                <c:pt idx="9">
                  <c:v>9</c:v>
                </c:pt>
                <c:pt idx="10">
                  <c:v>10</c:v>
                </c:pt>
                <c:pt idx="11">
                  <c:v>11</c:v>
                </c:pt>
                <c:pt idx="12">
                  <c:v>12</c:v>
                </c:pt>
                <c:pt idx="13">
                  <c:v>13</c:v>
                </c:pt>
                <c:pt idx="14">
                  <c:v>14</c:v>
                </c:pt>
                <c:pt idx="15">
                  <c:v>15</c:v>
                </c:pt>
                <c:pt idx="16">
                  <c:v>16</c:v>
                </c:pt>
                <c:pt idx="17">
                  <c:v>17</c:v>
                </c:pt>
                <c:pt idx="18">
                  <c:v>18</c:v>
                </c:pt>
              </c:numCache>
            </c:numRef>
          </c:cat>
          <c:val>
            <c:numRef>
              <c:f>Binomial!$G$10:$G$28</c:f>
              <c:numCache>
                <c:formatCode>General</c:formatCode>
                <c:ptCount val="19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2.2727272727272728E-2</c:v>
                </c:pt>
                <c:pt idx="7">
                  <c:v>2.3255813953488372E-2</c:v>
                </c:pt>
                <c:pt idx="8">
                  <c:v>2.3809523809523808E-2</c:v>
                </c:pt>
                <c:pt idx="9">
                  <c:v>0.1951219512195122</c:v>
                </c:pt>
                <c:pt idx="10">
                  <c:v>0.2</c:v>
                </c:pt>
                <c:pt idx="11">
                  <c:v>0.30769230769230771</c:v>
                </c:pt>
                <c:pt idx="12">
                  <c:v>7.8947368421052627E-2</c:v>
                </c:pt>
                <c:pt idx="13">
                  <c:v>5.4054054054054057E-2</c:v>
                </c:pt>
                <c:pt idx="14">
                  <c:v>2.7777777777777776E-2</c:v>
                </c:pt>
                <c:pt idx="15">
                  <c:v>2.8571428571428571E-2</c:v>
                </c:pt>
                <c:pt idx="16">
                  <c:v>2.9411764705882353E-2</c:v>
                </c:pt>
                <c:pt idx="17">
                  <c:v>0</c:v>
                </c:pt>
                <c:pt idx="18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D35D-4757-B959-77A67EE2583D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660524256"/>
        <c:axId val="660532896"/>
      </c:barChart>
      <c:catAx>
        <c:axId val="660524256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zh-CN"/>
          </a:p>
        </c:txPr>
        <c:crossAx val="660532896"/>
        <c:crosses val="autoZero"/>
        <c:auto val="1"/>
        <c:lblAlgn val="ctr"/>
        <c:lblOffset val="100"/>
        <c:noMultiLvlLbl val="0"/>
      </c:catAx>
      <c:valAx>
        <c:axId val="660532896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zh-CN"/>
          </a:p>
        </c:txPr>
        <c:crossAx val="660524256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zh-CN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zh-CN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trlProps/ctrlProp1.xml><?xml version="1.0" encoding="utf-8"?>
<formControlPr xmlns="http://schemas.microsoft.com/office/spreadsheetml/2009/9/main" objectType="Spin" dx="26" fmlaLink="$F$3" max="300" page="10" val="63"/>
</file>

<file path=xl/ctrlProps/ctrlProp2.xml><?xml version="1.0" encoding="utf-8"?>
<formControlPr xmlns="http://schemas.microsoft.com/office/spreadsheetml/2009/9/main" objectType="Spin" dx="26" fmlaLink="$A$1" max="30000" page="10" val="55"/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chart" Target="../charts/chart3.xml"/><Relationship Id="rId2" Type="http://schemas.openxmlformats.org/officeDocument/2006/relationships/chart" Target="../charts/chart2.xml"/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6</xdr:row>
      <xdr:rowOff>4762</xdr:rowOff>
    </xdr:from>
    <xdr:to>
      <xdr:col>0</xdr:col>
      <xdr:colOff>19050</xdr:colOff>
      <xdr:row>20</xdr:row>
      <xdr:rowOff>80962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00000000-0008-0000-0100-000002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mc:AlternateContent xmlns:mc="http://schemas.openxmlformats.org/markup-compatibility/2006">
    <mc:Choice xmlns:a14="http://schemas.microsoft.com/office/drawing/2010/main" Requires="a14">
      <xdr:twoCellAnchor>
        <xdr:from>
          <xdr:col>6</xdr:col>
          <xdr:colOff>525780</xdr:colOff>
          <xdr:row>1</xdr:row>
          <xdr:rowOff>152400</xdr:rowOff>
        </xdr:from>
        <xdr:to>
          <xdr:col>8</xdr:col>
          <xdr:colOff>236220</xdr:colOff>
          <xdr:row>6</xdr:row>
          <xdr:rowOff>152400</xdr:rowOff>
        </xdr:to>
        <xdr:sp macro="" textlink="">
          <xdr:nvSpPr>
            <xdr:cNvPr id="1025" name="Spinner 1" hidden="1">
              <a:extLst>
                <a:ext uri="{63B3BB69-23CF-44E3-9099-C40C66FF867C}">
                  <a14:compatExt spid="_x0000_s1025"/>
                </a:ext>
                <a:ext uri="{FF2B5EF4-FFF2-40B4-BE49-F238E27FC236}">
                  <a16:creationId xmlns:a16="http://schemas.microsoft.com/office/drawing/2014/main" id="{00000000-0008-0000-0000-000001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</xdr:sp>
        <xdr:clientData/>
      </xdr:twoCellAnchor>
    </mc:Choice>
    <mc:Fallback/>
  </mc:AlternateContent>
  <xdr:twoCellAnchor>
    <xdr:from>
      <xdr:col>11</xdr:col>
      <xdr:colOff>320040</xdr:colOff>
      <xdr:row>19</xdr:row>
      <xdr:rowOff>152400</xdr:rowOff>
    </xdr:from>
    <xdr:to>
      <xdr:col>17</xdr:col>
      <xdr:colOff>129540</xdr:colOff>
      <xdr:row>32</xdr:row>
      <xdr:rowOff>133350</xdr:rowOff>
    </xdr:to>
    <xdr:graphicFrame macro="">
      <xdr:nvGraphicFramePr>
        <xdr:cNvPr id="3" name="图表 2">
          <a:extLst>
            <a:ext uri="{FF2B5EF4-FFF2-40B4-BE49-F238E27FC236}">
              <a16:creationId xmlns:a16="http://schemas.microsoft.com/office/drawing/2014/main" id="{40B49E48-54FA-555A-6360-5BA670A8DB13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9</xdr:col>
      <xdr:colOff>91440</xdr:colOff>
      <xdr:row>2</xdr:row>
      <xdr:rowOff>41910</xdr:rowOff>
    </xdr:from>
    <xdr:to>
      <xdr:col>16</xdr:col>
      <xdr:colOff>449580</xdr:colOff>
      <xdr:row>17</xdr:row>
      <xdr:rowOff>41910</xdr:rowOff>
    </xdr:to>
    <xdr:graphicFrame macro="">
      <xdr:nvGraphicFramePr>
        <xdr:cNvPr id="4" name="图表 3">
          <a:extLst>
            <a:ext uri="{FF2B5EF4-FFF2-40B4-BE49-F238E27FC236}">
              <a16:creationId xmlns:a16="http://schemas.microsoft.com/office/drawing/2014/main" id="{1C877EE7-996E-5361-059D-D1F25EB68926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mc:AlternateContent xmlns:mc="http://schemas.openxmlformats.org/markup-compatibility/2006">
    <mc:Choice xmlns:a14="http://schemas.microsoft.com/office/drawing/2010/main" Requires="a14">
      <xdr:twoCellAnchor>
        <xdr:from>
          <xdr:col>4</xdr:col>
          <xdr:colOff>510540</xdr:colOff>
          <xdr:row>2</xdr:row>
          <xdr:rowOff>114300</xdr:rowOff>
        </xdr:from>
        <xdr:to>
          <xdr:col>6</xdr:col>
          <xdr:colOff>205740</xdr:colOff>
          <xdr:row>7</xdr:row>
          <xdr:rowOff>114300</xdr:rowOff>
        </xdr:to>
        <xdr:sp macro="" textlink="">
          <xdr:nvSpPr>
            <xdr:cNvPr id="2049" name="Spinner 1" hidden="1">
              <a:extLst>
                <a:ext uri="{63B3BB69-23CF-44E3-9099-C40C66FF867C}">
                  <a14:compatExt spid="_x0000_s2049"/>
                </a:ext>
                <a:ext uri="{FF2B5EF4-FFF2-40B4-BE49-F238E27FC236}">
                  <a16:creationId xmlns:a16="http://schemas.microsoft.com/office/drawing/2014/main" id="{00000000-0008-0000-0100-000001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</xdr:sp>
        <xdr:clientData/>
      </xdr:twoCellAnchor>
    </mc:Choice>
    <mc:Fallback/>
  </mc:AlternateContent>
</xdr:wsDr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ctrlProp" Target="../ctrlProps/ctrlProp1.xml"/><Relationship Id="rId2" Type="http://schemas.openxmlformats.org/officeDocument/2006/relationships/vmlDrawing" Target="../drawings/vmlDrawing1.vml"/><Relationship Id="rId1" Type="http://schemas.openxmlformats.org/officeDocument/2006/relationships/drawing" Target="../drawings/drawing1.xml"/></Relationships>
</file>

<file path=xl/worksheets/_rels/sheet2.xml.rels><?xml version="1.0" encoding="UTF-8" standalone="yes"?>
<Relationships xmlns="http://schemas.openxmlformats.org/package/2006/relationships"><Relationship Id="rId3" Type="http://schemas.openxmlformats.org/officeDocument/2006/relationships/ctrlProp" Target="../ctrlProps/ctrlProp2.xml"/><Relationship Id="rId2" Type="http://schemas.openxmlformats.org/officeDocument/2006/relationships/vmlDrawing" Target="../drawings/vmlDrawing2.vml"/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codeName="Sheet1"/>
  <dimension ref="A1:G51"/>
  <sheetViews>
    <sheetView tabSelected="1" topLeftCell="A7" workbookViewId="0">
      <selection activeCell="U21" sqref="U21"/>
    </sheetView>
  </sheetViews>
  <sheetFormatPr defaultColWidth="8.77734375" defaultRowHeight="14.4" x14ac:dyDescent="0.25"/>
  <cols>
    <col min="6" max="6" width="12.77734375" bestFit="1" customWidth="1"/>
  </cols>
  <sheetData>
    <row r="1" spans="1:7" x14ac:dyDescent="0.25">
      <c r="A1" t="s">
        <v>0</v>
      </c>
      <c r="B1" t="s">
        <v>3</v>
      </c>
    </row>
    <row r="2" spans="1:7" x14ac:dyDescent="0.25">
      <c r="A2">
        <v>11</v>
      </c>
      <c r="B2">
        <f>LN(_xlfn.BINOM.DIST(A2,$F$4,$F$3/100,FALSE))</f>
        <v>-1.6741799678754608</v>
      </c>
    </row>
    <row r="3" spans="1:7" x14ac:dyDescent="0.25">
      <c r="A3">
        <v>8</v>
      </c>
      <c r="B3">
        <f t="shared" ref="B3:B51" si="0">LN(_xlfn.BINOM.DIST(A3,$F$4,$F$3/100,FALSE))</f>
        <v>-2.9523766779988505</v>
      </c>
      <c r="E3" t="s">
        <v>1</v>
      </c>
      <c r="F3">
        <v>63</v>
      </c>
    </row>
    <row r="4" spans="1:7" x14ac:dyDescent="0.25">
      <c r="A4">
        <v>13</v>
      </c>
      <c r="B4">
        <f t="shared" si="0"/>
        <v>-1.921932729347013</v>
      </c>
      <c r="E4" t="s">
        <v>2</v>
      </c>
      <c r="F4">
        <v>18</v>
      </c>
    </row>
    <row r="5" spans="1:7" x14ac:dyDescent="0.25">
      <c r="A5">
        <v>13</v>
      </c>
      <c r="B5">
        <f t="shared" si="0"/>
        <v>-1.921932729347013</v>
      </c>
      <c r="E5" t="s">
        <v>3</v>
      </c>
      <c r="F5">
        <f>SUM(B2:B51)</f>
        <v>-106.34298805789057</v>
      </c>
    </row>
    <row r="6" spans="1:7" x14ac:dyDescent="0.25">
      <c r="A6">
        <v>11</v>
      </c>
      <c r="B6">
        <f t="shared" si="0"/>
        <v>-1.6741799678754608</v>
      </c>
    </row>
    <row r="7" spans="1:7" x14ac:dyDescent="0.25">
      <c r="A7">
        <v>8</v>
      </c>
      <c r="B7">
        <f t="shared" si="0"/>
        <v>-2.9523766779988505</v>
      </c>
    </row>
    <row r="8" spans="1:7" x14ac:dyDescent="0.25">
      <c r="A8">
        <v>12</v>
      </c>
      <c r="B8">
        <f t="shared" si="0"/>
        <v>-1.6809596548608394</v>
      </c>
    </row>
    <row r="9" spans="1:7" x14ac:dyDescent="0.25">
      <c r="A9">
        <v>12</v>
      </c>
      <c r="B9">
        <f t="shared" si="0"/>
        <v>-1.6809596548608394</v>
      </c>
      <c r="F9" t="s">
        <v>4</v>
      </c>
      <c r="G9" t="s">
        <v>5</v>
      </c>
    </row>
    <row r="10" spans="1:7" x14ac:dyDescent="0.25">
      <c r="A10">
        <v>9</v>
      </c>
      <c r="B10">
        <f t="shared" si="0"/>
        <v>-2.3147993485937164</v>
      </c>
      <c r="E10">
        <v>0</v>
      </c>
      <c r="F10">
        <f>_xlfn.BINOM.DIST(E10,$F$4,$F$3/100,FALSE)</f>
        <v>1.6890053810563303E-8</v>
      </c>
      <c r="G10">
        <f>COUNTIF(A2:A51,E10)/COUNT(A2:A51)</f>
        <v>0</v>
      </c>
    </row>
    <row r="11" spans="1:7" x14ac:dyDescent="0.25">
      <c r="A11">
        <v>12</v>
      </c>
      <c r="B11">
        <f t="shared" si="0"/>
        <v>-1.6809596548608394</v>
      </c>
      <c r="E11">
        <v>1</v>
      </c>
      <c r="F11">
        <f t="shared" ref="F11:F28" si="1">_xlfn.BINOM.DIST(E11,$F$4,$F$3/100,FALSE)</f>
        <v>5.1765732489672427E-7</v>
      </c>
      <c r="G11">
        <f t="shared" ref="G11:G28" si="2">COUNTIF(A3:A52,E11)/COUNT(A3:A52)</f>
        <v>0</v>
      </c>
    </row>
    <row r="12" spans="1:7" x14ac:dyDescent="0.25">
      <c r="A12">
        <v>10</v>
      </c>
      <c r="B12">
        <f t="shared" si="0"/>
        <v>-1.8879430505042343</v>
      </c>
      <c r="E12">
        <v>2</v>
      </c>
      <c r="F12">
        <f t="shared" si="1"/>
        <v>7.4920404724917686E-6</v>
      </c>
      <c r="G12">
        <f t="shared" si="2"/>
        <v>0</v>
      </c>
    </row>
    <row r="13" spans="1:7" x14ac:dyDescent="0.25">
      <c r="A13">
        <v>12</v>
      </c>
      <c r="B13">
        <f t="shared" si="0"/>
        <v>-1.6809596548608394</v>
      </c>
      <c r="E13">
        <v>3</v>
      </c>
      <c r="F13">
        <f t="shared" si="1"/>
        <v>6.8035826993438894E-5</v>
      </c>
      <c r="G13">
        <f t="shared" si="2"/>
        <v>0</v>
      </c>
    </row>
    <row r="14" spans="1:7" x14ac:dyDescent="0.25">
      <c r="A14">
        <v>11</v>
      </c>
      <c r="B14">
        <f t="shared" si="0"/>
        <v>-1.6741799678754608</v>
      </c>
      <c r="E14">
        <v>4</v>
      </c>
      <c r="F14">
        <f t="shared" si="1"/>
        <v>4.3441794938378181E-4</v>
      </c>
      <c r="G14">
        <f t="shared" si="2"/>
        <v>0</v>
      </c>
    </row>
    <row r="15" spans="1:7" x14ac:dyDescent="0.25">
      <c r="A15">
        <v>10</v>
      </c>
      <c r="B15">
        <f t="shared" si="0"/>
        <v>-1.8879430505042343</v>
      </c>
      <c r="E15">
        <v>5</v>
      </c>
      <c r="F15">
        <f t="shared" si="1"/>
        <v>2.0711169262513265E-3</v>
      </c>
      <c r="G15">
        <f t="shared" si="2"/>
        <v>0</v>
      </c>
    </row>
    <row r="16" spans="1:7" x14ac:dyDescent="0.25">
      <c r="A16">
        <v>10</v>
      </c>
      <c r="B16">
        <f t="shared" si="0"/>
        <v>-1.8879430505042343</v>
      </c>
      <c r="E16">
        <v>6</v>
      </c>
      <c r="F16">
        <f t="shared" si="1"/>
        <v>7.6407421738731362E-3</v>
      </c>
      <c r="G16">
        <f t="shared" si="2"/>
        <v>2.2727272727272728E-2</v>
      </c>
    </row>
    <row r="17" spans="1:7" x14ac:dyDescent="0.25">
      <c r="A17">
        <v>11</v>
      </c>
      <c r="B17">
        <f t="shared" si="0"/>
        <v>-1.6741799678754608</v>
      </c>
      <c r="E17">
        <v>7</v>
      </c>
      <c r="F17">
        <f t="shared" si="1"/>
        <v>2.2302706885900001E-2</v>
      </c>
      <c r="G17">
        <f t="shared" si="2"/>
        <v>2.3255813953488372E-2</v>
      </c>
    </row>
    <row r="18" spans="1:7" x14ac:dyDescent="0.25">
      <c r="A18">
        <v>6</v>
      </c>
      <c r="B18">
        <f t="shared" si="0"/>
        <v>-4.8742605373446883</v>
      </c>
      <c r="E18">
        <v>8</v>
      </c>
      <c r="F18">
        <f t="shared" si="1"/>
        <v>5.2215459026786072E-2</v>
      </c>
      <c r="G18">
        <f t="shared" si="2"/>
        <v>2.3809523809523808E-2</v>
      </c>
    </row>
    <row r="19" spans="1:7" x14ac:dyDescent="0.25">
      <c r="A19">
        <v>11</v>
      </c>
      <c r="B19">
        <f t="shared" si="0"/>
        <v>-1.6741799678754608</v>
      </c>
      <c r="E19">
        <v>9</v>
      </c>
      <c r="F19">
        <f t="shared" si="1"/>
        <v>9.8786003564189817E-2</v>
      </c>
      <c r="G19">
        <f t="shared" si="2"/>
        <v>0.1951219512195122</v>
      </c>
    </row>
    <row r="20" spans="1:7" x14ac:dyDescent="0.25">
      <c r="A20">
        <v>9</v>
      </c>
      <c r="B20">
        <f t="shared" si="0"/>
        <v>-2.3147993485937164</v>
      </c>
      <c r="E20">
        <v>10</v>
      </c>
      <c r="F20">
        <f t="shared" si="1"/>
        <v>0.15138287573215037</v>
      </c>
      <c r="G20">
        <f t="shared" si="2"/>
        <v>0.2</v>
      </c>
    </row>
    <row r="21" spans="1:7" x14ac:dyDescent="0.25">
      <c r="A21">
        <v>10</v>
      </c>
      <c r="B21">
        <f t="shared" si="0"/>
        <v>-1.8879430505042343</v>
      </c>
      <c r="E21">
        <v>11</v>
      </c>
      <c r="F21">
        <f t="shared" si="1"/>
        <v>0.18746184120148351</v>
      </c>
      <c r="G21">
        <f t="shared" si="2"/>
        <v>0.30769230769230771</v>
      </c>
    </row>
    <row r="22" spans="1:7" x14ac:dyDescent="0.25">
      <c r="A22">
        <v>16</v>
      </c>
      <c r="B22">
        <f t="shared" si="0"/>
        <v>-4.3506339788402375</v>
      </c>
      <c r="E22">
        <v>12</v>
      </c>
      <c r="F22">
        <f t="shared" si="1"/>
        <v>0.18619520713931134</v>
      </c>
      <c r="G22">
        <f t="shared" si="2"/>
        <v>7.8947368421052627E-2</v>
      </c>
    </row>
    <row r="23" spans="1:7" x14ac:dyDescent="0.25">
      <c r="A23">
        <v>8</v>
      </c>
      <c r="B23">
        <f t="shared" si="0"/>
        <v>-2.9523766779988505</v>
      </c>
      <c r="E23">
        <v>13</v>
      </c>
      <c r="F23">
        <f t="shared" si="1"/>
        <v>0.14632388419679768</v>
      </c>
      <c r="G23">
        <f t="shared" si="2"/>
        <v>5.4054054054054057E-2</v>
      </c>
    </row>
    <row r="24" spans="1:7" x14ac:dyDescent="0.25">
      <c r="A24">
        <v>10</v>
      </c>
      <c r="B24">
        <f t="shared" si="0"/>
        <v>-1.8879430505042343</v>
      </c>
      <c r="E24">
        <v>14</v>
      </c>
      <c r="F24">
        <f t="shared" si="1"/>
        <v>8.8980740389944538E-2</v>
      </c>
      <c r="G24">
        <f t="shared" si="2"/>
        <v>2.7777777777777776E-2</v>
      </c>
    </row>
    <row r="25" spans="1:7" x14ac:dyDescent="0.25">
      <c r="A25">
        <v>9</v>
      </c>
      <c r="B25">
        <f t="shared" si="0"/>
        <v>-2.3147993485937164</v>
      </c>
      <c r="E25">
        <v>15</v>
      </c>
      <c r="F25">
        <f t="shared" si="1"/>
        <v>4.040206590678562E-2</v>
      </c>
      <c r="G25">
        <f t="shared" si="2"/>
        <v>2.8571428571428571E-2</v>
      </c>
    </row>
    <row r="26" spans="1:7" x14ac:dyDescent="0.25">
      <c r="A26">
        <v>9</v>
      </c>
      <c r="B26">
        <f t="shared" si="0"/>
        <v>-2.3147993485937164</v>
      </c>
      <c r="E26">
        <v>16</v>
      </c>
      <c r="F26">
        <f t="shared" si="1"/>
        <v>1.2898632527673115E-2</v>
      </c>
      <c r="G26">
        <f t="shared" si="2"/>
        <v>2.9411764705882353E-2</v>
      </c>
    </row>
    <row r="27" spans="1:7" x14ac:dyDescent="0.25">
      <c r="A27">
        <v>10</v>
      </c>
      <c r="B27">
        <f t="shared" si="0"/>
        <v>-1.8879430505042343</v>
      </c>
      <c r="E27">
        <v>17</v>
      </c>
      <c r="F27">
        <f t="shared" si="1"/>
        <v>2.5838278195338803E-3</v>
      </c>
      <c r="G27">
        <f t="shared" si="2"/>
        <v>0</v>
      </c>
    </row>
    <row r="28" spans="1:7" x14ac:dyDescent="0.25">
      <c r="A28">
        <v>11</v>
      </c>
      <c r="B28">
        <f t="shared" si="0"/>
        <v>-1.6741799678754608</v>
      </c>
      <c r="E28">
        <v>18</v>
      </c>
      <c r="F28">
        <f t="shared" si="1"/>
        <v>2.444161450910432E-4</v>
      </c>
      <c r="G28">
        <f t="shared" si="2"/>
        <v>0</v>
      </c>
    </row>
    <row r="29" spans="1:7" x14ac:dyDescent="0.25">
      <c r="A29">
        <v>13</v>
      </c>
      <c r="B29">
        <f t="shared" si="0"/>
        <v>-1.921932729347013</v>
      </c>
    </row>
    <row r="30" spans="1:7" x14ac:dyDescent="0.25">
      <c r="A30">
        <v>11</v>
      </c>
      <c r="B30">
        <f t="shared" si="0"/>
        <v>-1.6741799678754608</v>
      </c>
    </row>
    <row r="31" spans="1:7" x14ac:dyDescent="0.25">
      <c r="A31">
        <v>13</v>
      </c>
      <c r="B31">
        <f t="shared" si="0"/>
        <v>-1.921932729347013</v>
      </c>
    </row>
    <row r="32" spans="1:7" x14ac:dyDescent="0.25">
      <c r="A32">
        <v>11</v>
      </c>
      <c r="B32">
        <f t="shared" si="0"/>
        <v>-1.6741799678754608</v>
      </c>
    </row>
    <row r="33" spans="1:2" x14ac:dyDescent="0.25">
      <c r="A33">
        <v>10</v>
      </c>
      <c r="B33">
        <f t="shared" si="0"/>
        <v>-1.8879430505042343</v>
      </c>
    </row>
    <row r="34" spans="1:2" x14ac:dyDescent="0.25">
      <c r="A34">
        <v>7</v>
      </c>
      <c r="B34">
        <f t="shared" si="0"/>
        <v>-3.8030472228646919</v>
      </c>
    </row>
    <row r="35" spans="1:2" x14ac:dyDescent="0.25">
      <c r="A35">
        <v>11</v>
      </c>
      <c r="B35">
        <f t="shared" si="0"/>
        <v>-1.6741799678754608</v>
      </c>
    </row>
    <row r="36" spans="1:2" x14ac:dyDescent="0.25">
      <c r="A36">
        <v>11</v>
      </c>
      <c r="B36">
        <f t="shared" si="0"/>
        <v>-1.6741799678754608</v>
      </c>
    </row>
    <row r="37" spans="1:2" x14ac:dyDescent="0.25">
      <c r="A37">
        <v>10</v>
      </c>
      <c r="B37">
        <f t="shared" si="0"/>
        <v>-1.8879430505042343</v>
      </c>
    </row>
    <row r="38" spans="1:2" x14ac:dyDescent="0.25">
      <c r="A38">
        <v>11</v>
      </c>
      <c r="B38">
        <f t="shared" si="0"/>
        <v>-1.6741799678754608</v>
      </c>
    </row>
    <row r="39" spans="1:2" x14ac:dyDescent="0.25">
      <c r="A39">
        <v>9</v>
      </c>
      <c r="B39">
        <f t="shared" si="0"/>
        <v>-2.3147993485937164</v>
      </c>
    </row>
    <row r="40" spans="1:2" x14ac:dyDescent="0.25">
      <c r="A40">
        <v>9</v>
      </c>
      <c r="B40">
        <f t="shared" si="0"/>
        <v>-2.3147993485937164</v>
      </c>
    </row>
    <row r="41" spans="1:2" x14ac:dyDescent="0.25">
      <c r="A41">
        <v>11</v>
      </c>
      <c r="B41">
        <f t="shared" si="0"/>
        <v>-1.6741799678754608</v>
      </c>
    </row>
    <row r="42" spans="1:2" x14ac:dyDescent="0.25">
      <c r="A42">
        <v>9</v>
      </c>
      <c r="B42">
        <f t="shared" si="0"/>
        <v>-2.3147993485937164</v>
      </c>
    </row>
    <row r="43" spans="1:2" x14ac:dyDescent="0.25">
      <c r="A43">
        <v>9</v>
      </c>
      <c r="B43">
        <f t="shared" si="0"/>
        <v>-2.3147993485937164</v>
      </c>
    </row>
    <row r="44" spans="1:2" x14ac:dyDescent="0.25">
      <c r="A44">
        <v>9</v>
      </c>
      <c r="B44">
        <f t="shared" si="0"/>
        <v>-2.3147993485937164</v>
      </c>
    </row>
    <row r="45" spans="1:2" x14ac:dyDescent="0.25">
      <c r="A45">
        <v>12</v>
      </c>
      <c r="B45">
        <f t="shared" si="0"/>
        <v>-1.6809596548608394</v>
      </c>
    </row>
    <row r="46" spans="1:2" x14ac:dyDescent="0.25">
      <c r="A46">
        <v>12</v>
      </c>
      <c r="B46">
        <f t="shared" si="0"/>
        <v>-1.6809596548608394</v>
      </c>
    </row>
    <row r="47" spans="1:2" x14ac:dyDescent="0.25">
      <c r="A47">
        <v>11</v>
      </c>
      <c r="B47">
        <f t="shared" si="0"/>
        <v>-1.6741799678754608</v>
      </c>
    </row>
    <row r="48" spans="1:2" x14ac:dyDescent="0.25">
      <c r="A48">
        <v>15</v>
      </c>
      <c r="B48">
        <f t="shared" si="0"/>
        <v>-3.2088743590158741</v>
      </c>
    </row>
    <row r="49" spans="1:2" x14ac:dyDescent="0.25">
      <c r="A49">
        <v>14</v>
      </c>
      <c r="B49">
        <f t="shared" si="0"/>
        <v>-2.4193353327808627</v>
      </c>
    </row>
    <row r="50" spans="1:2" x14ac:dyDescent="0.25">
      <c r="A50">
        <v>11</v>
      </c>
      <c r="B50">
        <f t="shared" si="0"/>
        <v>-1.6741799678754608</v>
      </c>
    </row>
    <row r="51" spans="1:2" x14ac:dyDescent="0.25">
      <c r="A51">
        <v>12</v>
      </c>
      <c r="B51">
        <f t="shared" si="0"/>
        <v>-1.6809596548608394</v>
      </c>
    </row>
  </sheetData>
  <phoneticPr fontId="1" type="noConversion"/>
  <pageMargins left="0.7" right="0.7" top="0.75" bottom="0.75" header="0.3" footer="0.3"/>
  <drawing r:id="rId1"/>
  <legacyDrawing r:id="rId2"/>
  <mc:AlternateContent xmlns:mc="http://schemas.openxmlformats.org/markup-compatibility/2006">
    <mc:Choice Requires="x14">
      <controls>
        <mc:AlternateContent xmlns:mc="http://schemas.openxmlformats.org/markup-compatibility/2006">
          <mc:Choice Requires="x14">
            <control shapeId="1025" r:id="rId3" name="Spinner 1">
              <controlPr defaultSize="0" autoPict="0">
                <anchor moveWithCells="1" sizeWithCells="1">
                  <from>
                    <xdr:col>6</xdr:col>
                    <xdr:colOff>525780</xdr:colOff>
                    <xdr:row>1</xdr:row>
                    <xdr:rowOff>152400</xdr:rowOff>
                  </from>
                  <to>
                    <xdr:col>8</xdr:col>
                    <xdr:colOff>236220</xdr:colOff>
                    <xdr:row>6</xdr:row>
                    <xdr:rowOff>152400</xdr:rowOff>
                  </to>
                </anchor>
              </controlPr>
            </control>
          </mc:Choice>
        </mc:AlternateContent>
      </controls>
    </mc:Choice>
  </mc:AlternateContent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059B045-385A-4C9D-8B69-25DA51A9849B}">
  <dimension ref="A1"/>
  <sheetViews>
    <sheetView workbookViewId="0"/>
  </sheetViews>
  <sheetFormatPr defaultRowHeight="14.4" x14ac:dyDescent="0.25"/>
  <sheetData>
    <row r="1" spans="1:1" x14ac:dyDescent="0.25">
      <c r="A1">
        <v>55</v>
      </c>
    </row>
  </sheetData>
  <phoneticPr fontId="1" type="noConversion"/>
  <pageMargins left="0.7" right="0.7" top="0.75" bottom="0.75" header="0.3" footer="0.3"/>
  <drawing r:id="rId1"/>
  <legacyDrawing r:id="rId2"/>
  <mc:AlternateContent xmlns:mc="http://schemas.openxmlformats.org/markup-compatibility/2006">
    <mc:Choice Requires="x14">
      <controls>
        <mc:AlternateContent xmlns:mc="http://schemas.openxmlformats.org/markup-compatibility/2006">
          <mc:Choice Requires="x14">
            <control shapeId="2049" r:id="rId3" name="Spinner 1">
              <controlPr defaultSize="0" autoPict="0">
                <anchor moveWithCells="1" sizeWithCells="1">
                  <from>
                    <xdr:col>4</xdr:col>
                    <xdr:colOff>510540</xdr:colOff>
                    <xdr:row>2</xdr:row>
                    <xdr:rowOff>114300</xdr:rowOff>
                  </from>
                  <to>
                    <xdr:col>6</xdr:col>
                    <xdr:colOff>205740</xdr:colOff>
                    <xdr:row>7</xdr:row>
                    <xdr:rowOff>114300</xdr:rowOff>
                  </to>
                </anchor>
              </controlPr>
            </control>
          </mc:Choice>
        </mc:AlternateContent>
      </controls>
    </mc:Choice>
  </mc:AlternateContent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2</vt:i4>
      </vt:variant>
    </vt:vector>
  </HeadingPairs>
  <TitlesOfParts>
    <vt:vector size="2" baseType="lpstr">
      <vt:lpstr>Binomial</vt:lpstr>
      <vt:lpstr>Sheet1</vt:lpstr>
    </vt:vector>
  </TitlesOfParts>
  <Company>UoA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James M. Curran</dc:creator>
  <cp:lastModifiedBy>聪 邓</cp:lastModifiedBy>
  <dcterms:created xsi:type="dcterms:W3CDTF">2011-03-04T00:39:53Z</dcterms:created>
  <dcterms:modified xsi:type="dcterms:W3CDTF">2026-03-14T20:56:13Z</dcterms:modified>
</cp:coreProperties>
</file>