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540" windowHeight="7164" activeTab="1"/>
  </bookViews>
  <sheets>
    <sheet name="Exercise-01" sheetId="1" r:id="rId1"/>
    <sheet name="Exercise-02" sheetId="2" r:id="rId2"/>
    <sheet name="Exercise-03" sheetId="3" r:id="rId3"/>
    <sheet name="Exercise-04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<sst xmlns="http://schemas.openxmlformats.org/spreadsheetml/2006/main" count="295" uniqueCount="31">
  <si>
    <t>interestRate</t>
  </si>
  <si>
    <t>Mean</t>
  </si>
  <si>
    <t>Std. Dev</t>
  </si>
  <si>
    <t>Sample Size</t>
  </si>
  <si>
    <t>Number of sexual partners</t>
  </si>
  <si>
    <t>5+</t>
  </si>
  <si>
    <t>RowTot</t>
  </si>
  <si>
    <t>Gender</t>
  </si>
  <si>
    <t>F</t>
  </si>
  <si>
    <t>M</t>
  </si>
  <si>
    <t>ColTot</t>
  </si>
  <si>
    <t>Expected Number of sexual partners</t>
  </si>
  <si>
    <t>Resids Number of sexual partners</t>
  </si>
  <si>
    <t>chistat</t>
  </si>
  <si>
    <t>df</t>
  </si>
  <si>
    <t>pval</t>
  </si>
  <si>
    <t>quickpval</t>
  </si>
  <si>
    <t>fabric</t>
  </si>
  <si>
    <t>method</t>
  </si>
  <si>
    <t>Cotton</t>
  </si>
  <si>
    <t>Contact</t>
  </si>
  <si>
    <t>Passive</t>
  </si>
  <si>
    <t>Projected</t>
  </si>
  <si>
    <t>Cotton Spandex</t>
  </si>
  <si>
    <t>Cotton Polyester</t>
  </si>
  <si>
    <t>Polyester</t>
  </si>
  <si>
    <t>Merino Wool</t>
  </si>
  <si>
    <t>Cotton Denim</t>
  </si>
  <si>
    <t>mean</t>
  </si>
  <si>
    <t>sd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</si>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</sst>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0.0000"/>
    <numFmt numFmtId="177" formatCode="0.000"/>
    <numFmt numFmtId="178" formatCode="_-&quot;$&quot;* #,##0.000_-;\-&quot;$&quot;* #,##0.000_-;_-&quot;$&quot;* &quot;-&quot;??_-;_-@_-"/>
  </numFmts>
  <fonts count="23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176" fontId="0" fillId="0" borderId="0" xfId="0" applyNumberFormat="1"/>
    <xf numFmtId="0" fontId="1" fillId="0" borderId="0" xfId="49"/>
    <xf numFmtId="0" fontId="1" fillId="0" borderId="1" xfId="49" applyBorder="1"/>
    <xf numFmtId="0" fontId="2" fillId="0" borderId="2" xfId="49" applyFont="1" applyBorder="1" applyAlignment="1">
      <alignment horizontal="center"/>
    </xf>
    <xf numFmtId="0" fontId="2" fillId="0" borderId="3" xfId="49" applyFont="1" applyBorder="1" applyAlignment="1">
      <alignment horizontal="center"/>
    </xf>
    <xf numFmtId="0" fontId="2" fillId="0" borderId="4" xfId="49" applyFont="1" applyBorder="1"/>
    <xf numFmtId="0" fontId="2" fillId="0" borderId="0" xfId="49" applyFont="1"/>
    <xf numFmtId="0" fontId="2" fillId="0" borderId="0" xfId="49" applyFont="1" applyAlignment="1">
      <alignment horizontal="right"/>
    </xf>
    <xf numFmtId="0" fontId="2" fillId="0" borderId="5" xfId="49" applyFont="1" applyBorder="1" applyAlignment="1">
      <alignment horizontal="right"/>
    </xf>
    <xf numFmtId="0" fontId="2" fillId="0" borderId="4" xfId="49" applyFont="1" applyBorder="1" applyAlignment="1">
      <alignment horizontal="center" vertical="center"/>
    </xf>
    <xf numFmtId="0" fontId="1" fillId="0" borderId="5" xfId="49" applyBorder="1"/>
    <xf numFmtId="0" fontId="2" fillId="0" borderId="6" xfId="49" applyFont="1" applyBorder="1" applyAlignment="1">
      <alignment horizontal="center" vertical="center"/>
    </xf>
    <xf numFmtId="0" fontId="2" fillId="0" borderId="7" xfId="49" applyFont="1" applyBorder="1"/>
    <xf numFmtId="0" fontId="1" fillId="0" borderId="7" xfId="49" applyBorder="1"/>
    <xf numFmtId="0" fontId="1" fillId="0" borderId="8" xfId="49" applyBorder="1"/>
    <xf numFmtId="177" fontId="1" fillId="0" borderId="0" xfId="49" applyNumberFormat="1"/>
    <xf numFmtId="2" fontId="1" fillId="0" borderId="0" xfId="49" applyNumberFormat="1"/>
    <xf numFmtId="0" fontId="0" fillId="0" borderId="0" xfId="0" applyAlignment="1">
      <alignment horizontal="center" vertical="center"/>
    </xf>
    <xf numFmtId="178" fontId="0" fillId="0" borderId="0" xfId="2" applyNumberFormat="1" applyFont="1" applyAlignment="1"/>
    <xf numFmtId="58" fontId="0" fillId="0" borderId="0" xfId="0" applyNumberFormat="1" applyAlignment="1">
      <alignment horizontal="center" vertical="center"/>
    </xf>
    <xf numFmtId="44" fontId="0" fillId="0" borderId="0" xfId="2" applyFont="1" applyAlignment="1"/>
    <xf numFmtId="44" fontId="0" fillId="0" borderId="0" xfId="2" applyFont="1" applyAlignment="1">
      <alignment horizontal="center" vertical="center"/>
    </xf>
    <xf numFmtId="44" fontId="0" fillId="0" borderId="0" xfId="0" applyNumberFormat="1"/>
    <xf numFmtId="9" fontId="0" fillId="0" borderId="0" xfId="3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Sheet1!$A$1:$A$21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Sheet1!$B$1:$B$21</c:f>
              <c:numCache>
                <c:formatCode>General</c:formatCode>
                <c:ptCount val="21"/>
                <c:pt idx="0">
                  <c:v>0.002215924205969</c:v>
                </c:pt>
                <c:pt idx="1">
                  <c:v>0.00454678125079553</c:v>
                </c:pt>
                <c:pt idx="2">
                  <c:v>0.00876415024678427</c:v>
                </c:pt>
                <c:pt idx="3">
                  <c:v>0.0158698259178337</c:v>
                </c:pt>
                <c:pt idx="4">
                  <c:v>0.026995483256594</c:v>
                </c:pt>
                <c:pt idx="5">
                  <c:v>0.0431386594132558</c:v>
                </c:pt>
                <c:pt idx="6">
                  <c:v>0.0647587978329459</c:v>
                </c:pt>
                <c:pt idx="7">
                  <c:v>0.091324542694511</c:v>
                </c:pt>
                <c:pt idx="8">
                  <c:v>0.120985362259572</c:v>
                </c:pt>
                <c:pt idx="9">
                  <c:v>0.150568716077402</c:v>
                </c:pt>
                <c:pt idx="10">
                  <c:v>0.17603266338215</c:v>
                </c:pt>
                <c:pt idx="11">
                  <c:v>0.193334058401425</c:v>
                </c:pt>
                <c:pt idx="12">
                  <c:v>0.199471140200716</c:v>
                </c:pt>
                <c:pt idx="13">
                  <c:v>0.193334058401425</c:v>
                </c:pt>
                <c:pt idx="14">
                  <c:v>0.17603266338215</c:v>
                </c:pt>
                <c:pt idx="15">
                  <c:v>0.150568716077402</c:v>
                </c:pt>
                <c:pt idx="16">
                  <c:v>0.120985362259572</c:v>
                </c:pt>
                <c:pt idx="17">
                  <c:v>0.091324542694511</c:v>
                </c:pt>
                <c:pt idx="18">
                  <c:v>0.0647587978329459</c:v>
                </c:pt>
                <c:pt idx="19">
                  <c:v>0.0431386594132558</c:v>
                </c:pt>
                <c:pt idx="20">
                  <c:v>0.026995483256594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34224"/>
        <c:axId val="183735664"/>
      </c:scatterChart>
      <c:valAx>
        <c:axId val="18373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735664"/>
        <c:crosses val="autoZero"/>
        <c:crossBetween val="midCat"/>
      </c:valAx>
      <c:valAx>
        <c:axId val="1837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73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ca4dd18-be15-4f06-93d4-f63322b502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Sheet1!$M$1:$M$124</c:f>
              <c:numCache>
                <c:formatCode>General</c:formatCode>
                <c:ptCount val="12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</c:numCache>
            </c:numRef>
          </c:xVal>
          <c:yVal>
            <c:numRef>
              <c:f>Sheet1!$N$1:$N$124</c:f>
              <c:numCache>
                <c:formatCode>0.0000</c:formatCode>
                <c:ptCount val="124"/>
                <c:pt idx="0">
                  <c:v>0</c:v>
                </c:pt>
                <c:pt idx="1">
                  <c:v>0.219695644733861</c:v>
                </c:pt>
                <c:pt idx="2">
                  <c:v>0.241970724519143</c:v>
                </c:pt>
                <c:pt idx="3">
                  <c:v>0.230799484208183</c:v>
                </c:pt>
                <c:pt idx="4">
                  <c:v>0.207553748710297</c:v>
                </c:pt>
                <c:pt idx="5">
                  <c:v>0.180722392668181</c:v>
                </c:pt>
                <c:pt idx="6">
                  <c:v>0.154180329803769</c:v>
                </c:pt>
                <c:pt idx="7">
                  <c:v>0.129696645833118</c:v>
                </c:pt>
                <c:pt idx="8">
                  <c:v>0.107981933026376</c:v>
                </c:pt>
                <c:pt idx="9">
                  <c:v>0.0891977169177221</c:v>
                </c:pt>
                <c:pt idx="10">
                  <c:v>0.0732249128096325</c:v>
                </c:pt>
                <c:pt idx="11">
                  <c:v>0.0598110718550573</c:v>
                </c:pt>
                <c:pt idx="12">
                  <c:v>0.0486521733296415</c:v>
                </c:pt>
                <c:pt idx="13">
                  <c:v>0.0394375273667488</c:v>
                </c:pt>
                <c:pt idx="14">
                  <c:v>0.0318734004514812</c:v>
                </c:pt>
                <c:pt idx="15">
                  <c:v>0.0256942763260461</c:v>
                </c:pt>
                <c:pt idx="16">
                  <c:v>0.0206669853540921</c:v>
                </c:pt>
                <c:pt idx="17">
                  <c:v>0.0165908249304416</c:v>
                </c:pt>
                <c:pt idx="18">
                  <c:v>0.013295545235814</c:v>
                </c:pt>
                <c:pt idx="19">
                  <c:v>0.0106383207273499</c:v>
                </c:pt>
                <c:pt idx="20">
                  <c:v>0.00850036660252035</c:v>
                </c:pt>
                <c:pt idx="21">
                  <c:v>0.00678357584955933</c:v>
                </c:pt>
                <c:pt idx="22">
                  <c:v>0.00540737835063384</c:v>
                </c:pt>
                <c:pt idx="23">
                  <c:v>0.00430591760341102</c:v>
                </c:pt>
                <c:pt idx="24">
                  <c:v>0.00342557750011026</c:v>
                </c:pt>
                <c:pt idx="25">
                  <c:v>0.00272285528794089</c:v>
                </c:pt>
                <c:pt idx="26">
                  <c:v>0.00216255723063717</c:v>
                </c:pt>
                <c:pt idx="27">
                  <c:v>0.00171628417156352</c:v>
                </c:pt>
                <c:pt idx="28">
                  <c:v>0.0013611710706428</c:v>
                </c:pt>
                <c:pt idx="29">
                  <c:v>0.00107884504969462</c:v>
                </c:pt>
                <c:pt idx="30">
                  <c:v>0.000854568894921411</c:v>
                </c:pt>
                <c:pt idx="31">
                  <c:v>0.000676540313234938</c:v>
                </c:pt>
                <c:pt idx="32">
                  <c:v>0.000535320903059542</c:v>
                </c:pt>
                <c:pt idx="33">
                  <c:v>0.000423372419145591</c:v>
                </c:pt>
                <c:pt idx="34">
                  <c:v>0.000334681286967664</c:v>
                </c:pt>
                <c:pt idx="35">
                  <c:v>0.000264455359850846</c:v>
                </c:pt>
                <c:pt idx="36">
                  <c:v>0.000208879577920122</c:v>
                </c:pt>
                <c:pt idx="37">
                  <c:v>0.000164919485939066</c:v>
                </c:pt>
                <c:pt idx="38">
                  <c:v>0.000130163521062019</c:v>
                </c:pt>
                <c:pt idx="39">
                  <c:v>0.000102696625396085</c:v>
                </c:pt>
                <c:pt idx="40">
                  <c:v>8.09991095608912e-5</c:v>
                </c:pt>
                <c:pt idx="41">
                  <c:v>6.38658294416664e-5</c:v>
                </c:pt>
                <c:pt idx="42">
                  <c:v>5.03416740298719e-5</c:v>
                </c:pt>
                <c:pt idx="43">
                  <c:v>3.96701292371433e-5</c:v>
                </c:pt>
                <c:pt idx="44">
                  <c:v>3.12523086870373e-5</c:v>
                </c:pt>
                <c:pt idx="45">
                  <c:v>2.46143518009309e-5</c:v>
                </c:pt>
                <c:pt idx="46">
                  <c:v>1.93815025171905e-5</c:v>
                </c:pt>
                <c:pt idx="47">
                  <c:v>1.52575160188294e-5</c:v>
                </c:pt>
                <c:pt idx="48">
                  <c:v>1.20083103580045e-5</c:v>
                </c:pt>
                <c:pt idx="49">
                  <c:v>9.44899686042337e-6</c:v>
                </c:pt>
                <c:pt idx="50">
                  <c:v>7.43359757367149e-6</c:v>
                </c:pt>
                <c:pt idx="51">
                  <c:v>5.84689792190842e-6</c:v>
                </c:pt>
                <c:pt idx="52">
                  <c:v>4.59799479244311e-6</c:v>
                </c:pt>
                <c:pt idx="53">
                  <c:v>3.61518992134532e-6</c:v>
                </c:pt>
                <c:pt idx="54">
                  <c:v>2.84195006106161e-6</c:v>
                </c:pt>
                <c:pt idx="55">
                  <c:v>2.23371256177999e-6</c:v>
                </c:pt>
                <c:pt idx="56">
                  <c:v>1.75536055427284e-6</c:v>
                </c:pt>
                <c:pt idx="57">
                  <c:v>1.37922820143841e-6</c:v>
                </c:pt>
                <c:pt idx="58">
                  <c:v>1.08352535176799e-6</c:v>
                </c:pt>
                <c:pt idx="59">
                  <c:v>8.51093876299409e-7</c:v>
                </c:pt>
                <c:pt idx="60">
                  <c:v>6.6842620035749e-7</c:v>
                </c:pt>
                <c:pt idx="61">
                  <c:v>5.24891012366556e-7</c:v>
                </c:pt>
                <c:pt idx="62">
                  <c:v>4.12122611574571e-7</c:v>
                </c:pt>
                <c:pt idx="63">
                  <c:v>3.23539457344926e-7</c:v>
                </c:pt>
                <c:pt idx="64">
                  <c:v>2.53964693437331e-7</c:v>
                </c:pt>
                <c:pt idx="65">
                  <c:v>1.9932713079983e-7</c:v>
                </c:pt>
                <c:pt idx="66">
                  <c:v>1.56425691805257e-7</c:v>
                </c:pt>
                <c:pt idx="67">
                  <c:v>1.22743894135106e-7</c:v>
                </c:pt>
                <c:pt idx="68">
                  <c:v>9.63037795839334e-8</c:v>
                </c:pt>
                <c:pt idx="69">
                  <c:v>7.55509275361902e-8</c:v>
                </c:pt>
                <c:pt idx="70">
                  <c:v>5.9263958246318e-8</c:v>
                </c:pt>
                <c:pt idx="71">
                  <c:v>4.64833252720565e-8</c:v>
                </c:pt>
                <c:pt idx="72">
                  <c:v>3.64552970989397e-8</c:v>
                </c:pt>
                <c:pt idx="73">
                  <c:v>2.8587896645368e-8</c:v>
                </c:pt>
                <c:pt idx="74">
                  <c:v>2.24162526402613e-8</c:v>
                </c:pt>
                <c:pt idx="75">
                  <c:v>1.75753573479037e-8</c:v>
                </c:pt>
                <c:pt idx="76">
                  <c:v>1.37786512523177e-8</c:v>
                </c:pt>
                <c:pt idx="77">
                  <c:v>1.08011912004788e-8</c:v>
                </c:pt>
                <c:pt idx="78">
                  <c:v>8.46642318111269e-9</c:v>
                </c:pt>
                <c:pt idx="79">
                  <c:v>6.63578942558899e-9</c:v>
                </c:pt>
                <c:pt idx="80">
                  <c:v>5.20056373765439e-9</c:v>
                </c:pt>
                <c:pt idx="81">
                  <c:v>4.07543826579456e-9</c:v>
                </c:pt>
                <c:pt idx="82">
                  <c:v>3.19348672488565e-9</c:v>
                </c:pt>
                <c:pt idx="83">
                  <c:v>2.50220918924354e-9</c:v>
                </c:pt>
                <c:pt idx="84">
                  <c:v>1.9604266201194e-9</c:v>
                </c:pt>
                <c:pt idx="85">
                  <c:v>1.53584288595947e-9</c:v>
                </c:pt>
                <c:pt idx="86">
                  <c:v>1.20313104342576e-9</c:v>
                </c:pt>
                <c:pt idx="87">
                  <c:v>9.42431324835336e-10</c:v>
                </c:pt>
                <c:pt idx="88">
                  <c:v>7.3817239854413e-10</c:v>
                </c:pt>
                <c:pt idx="89">
                  <c:v>5.78146430937859e-10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73264"/>
        <c:axId val="203492112"/>
      </c:scatterChart>
      <c:valAx>
        <c:axId val="19847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492112"/>
        <c:crosses val="autoZero"/>
        <c:crossBetween val="midCat"/>
      </c:valAx>
      <c:valAx>
        <c:axId val="20349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47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b2b0203-d762-4ac7-9f0e-cff4f767dd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560070</xdr:colOff>
      <xdr:row>7</xdr:row>
      <xdr:rowOff>118110</xdr:rowOff>
    </xdr:from>
    <xdr:to>
      <xdr:col>10</xdr:col>
      <xdr:colOff>255270</xdr:colOff>
      <xdr:row>22</xdr:row>
      <xdr:rowOff>118110</xdr:rowOff>
    </xdr:to>
    <xdr:graphicFrame>
      <xdr:nvGraphicFramePr>
        <xdr:cNvPr id="2" name="图表 1"/>
        <xdr:cNvGraphicFramePr/>
      </xdr:nvGraphicFramePr>
      <xdr:xfrm>
        <a:off x="2053590" y="139827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217170</xdr:colOff>
      <xdr:row>0</xdr:row>
      <xdr:rowOff>179070</xdr:rowOff>
    </xdr:from>
    <xdr:to>
      <xdr:col>21</xdr:col>
      <xdr:colOff>521970</xdr:colOff>
      <xdr:row>15</xdr:row>
      <xdr:rowOff>179070</xdr:rowOff>
    </xdr:to>
    <xdr:graphicFrame>
      <xdr:nvGraphicFramePr>
        <xdr:cNvPr id="3" name="图表 2"/>
        <xdr:cNvGraphicFramePr/>
      </xdr:nvGraphicFramePr>
      <xdr:xfrm>
        <a:off x="9117330" y="17907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topLeftCell="A16" workbookViewId="0">
      <selection activeCell="G10" sqref="G10"/>
    </sheetView>
  </sheetViews>
  <sheetFormatPr defaultColWidth="8.77777777777778" defaultRowHeight="14.4" outlineLevelCol="6"/>
  <cols>
    <col min="1" max="1" width="11.4444444444444" customWidth="1"/>
    <col min="5" max="5" width="19.3333333333333" customWidth="1"/>
    <col min="6" max="6" width="24.8888888888889" style="18" customWidth="1"/>
    <col min="7" max="7" width="13.5555555555556" customWidth="1"/>
  </cols>
  <sheetData>
    <row r="1" spans="2:7">
      <c r="B1">
        <v>0.386016836273484</v>
      </c>
      <c r="E1" s="19">
        <v>1211112.2</v>
      </c>
      <c r="F1" s="20">
        <v>44927</v>
      </c>
      <c r="G1">
        <v>-5</v>
      </c>
    </row>
    <row r="2" spans="2:7">
      <c r="B2">
        <v>0.686907242197776</v>
      </c>
      <c r="F2" s="20">
        <v>45292</v>
      </c>
      <c r="G2">
        <v>-4.5</v>
      </c>
    </row>
    <row r="3" spans="2:7">
      <c r="B3">
        <v>0.746244950278196</v>
      </c>
      <c r="F3" s="20">
        <v>45658</v>
      </c>
      <c r="G3">
        <v>-4</v>
      </c>
    </row>
    <row r="4" spans="2:7">
      <c r="B4">
        <v>1.53659129864536</v>
      </c>
      <c r="F4" s="20">
        <v>46023</v>
      </c>
      <c r="G4">
        <v>-3.5</v>
      </c>
    </row>
    <row r="5" spans="2:7">
      <c r="B5">
        <v>0.396173618355533</v>
      </c>
    </row>
    <row r="6" spans="2:7">
      <c r="B6">
        <v>0.653485585644376</v>
      </c>
    </row>
    <row r="7" spans="2:7">
      <c r="B7">
        <v>0.337904566549696</v>
      </c>
    </row>
    <row r="8" spans="2:7">
      <c r="B8">
        <v>-0.297192173093208</v>
      </c>
      <c r="E8" s="21">
        <v>1000</v>
      </c>
      <c r="F8" s="22">
        <f>$G$9*E8/12</f>
        <v>5</v>
      </c>
      <c r="G8" t="s">
        <v>0</v>
      </c>
    </row>
    <row r="9" spans="2:7">
      <c r="B9">
        <v>0.559853106096853</v>
      </c>
      <c r="E9" s="23">
        <f>E8+F8</f>
        <v>1005</v>
      </c>
      <c r="F9" s="22">
        <f t="shared" ref="F9:F54" si="0">$G$9*E9/12</f>
        <v>5.025</v>
      </c>
      <c r="G9" s="24">
        <v>0.06</v>
      </c>
    </row>
    <row r="10" spans="2:7">
      <c r="B10">
        <v>1.93557752936613</v>
      </c>
      <c r="E10" s="23">
        <f t="shared" ref="E10:E54" si="1">E9+F9</f>
        <v>1010.025</v>
      </c>
      <c r="F10" s="22">
        <f t="shared" si="0"/>
        <v>5.050125</v>
      </c>
    </row>
    <row r="11" spans="2:7">
      <c r="B11">
        <v>1.78978552867193</v>
      </c>
      <c r="E11" s="23">
        <f t="shared" si="1"/>
        <v>1015.075125</v>
      </c>
      <c r="F11" s="22">
        <f t="shared" si="0"/>
        <v>5.075375625</v>
      </c>
    </row>
    <row r="12" spans="2:7">
      <c r="B12">
        <v>0.295113977699657</v>
      </c>
      <c r="E12" s="23">
        <f t="shared" si="1"/>
        <v>1020.150500625</v>
      </c>
      <c r="F12" s="22">
        <f t="shared" si="0"/>
        <v>5.100752503125</v>
      </c>
    </row>
    <row r="13" spans="2:7">
      <c r="B13">
        <v>-0.0925035692489473</v>
      </c>
      <c r="E13" s="23">
        <f t="shared" si="1"/>
        <v>1025.25125312812</v>
      </c>
      <c r="F13" s="22">
        <f t="shared" si="0"/>
        <v>5.12625626564062</v>
      </c>
    </row>
    <row r="14" spans="2:7">
      <c r="B14">
        <v>2.37565473071299</v>
      </c>
      <c r="E14" s="23">
        <f t="shared" si="1"/>
        <v>1030.37750939377</v>
      </c>
      <c r="F14" s="22">
        <f t="shared" si="0"/>
        <v>5.15188754696883</v>
      </c>
    </row>
    <row r="15" spans="2:7">
      <c r="B15">
        <v>-0.702389115758706</v>
      </c>
      <c r="E15" s="23">
        <f t="shared" si="1"/>
        <v>1035.52939694073</v>
      </c>
      <c r="F15" s="22">
        <f t="shared" si="0"/>
        <v>5.17764698470367</v>
      </c>
    </row>
    <row r="16" spans="2:7">
      <c r="B16">
        <v>-0.355696556653129</v>
      </c>
      <c r="E16" s="23">
        <f t="shared" si="1"/>
        <v>1040.70704392544</v>
      </c>
      <c r="F16" s="22">
        <f t="shared" si="0"/>
        <v>5.20353521962719</v>
      </c>
    </row>
    <row r="17" spans="1:6">
      <c r="B17">
        <v>0.75343905336922</v>
      </c>
      <c r="E17" s="23">
        <f t="shared" si="1"/>
        <v>1045.91057914507</v>
      </c>
      <c r="F17" s="22">
        <f t="shared" si="0"/>
        <v>5.22955289572533</v>
      </c>
    </row>
    <row r="18" spans="1:6">
      <c r="B18">
        <v>0.174184151546797</v>
      </c>
      <c r="E18" s="23">
        <f t="shared" si="1"/>
        <v>1051.14013204079</v>
      </c>
      <c r="F18" s="22">
        <f t="shared" si="0"/>
        <v>5.25570066020395</v>
      </c>
    </row>
    <row r="19" spans="1:6">
      <c r="B19">
        <v>0.0539193933946081</v>
      </c>
      <c r="E19" s="23">
        <f t="shared" si="1"/>
        <v>1056.39583270099</v>
      </c>
      <c r="F19" s="22">
        <f t="shared" si="0"/>
        <v>5.28197916350497</v>
      </c>
    </row>
    <row r="20" spans="1:6">
      <c r="B20">
        <v>0.961351815931266</v>
      </c>
      <c r="E20" s="23">
        <f t="shared" si="1"/>
        <v>1061.6778118645</v>
      </c>
      <c r="F20" s="22">
        <f t="shared" si="0"/>
        <v>5.3083890593225</v>
      </c>
    </row>
    <row r="21" spans="1:6">
      <c r="A21" t="s">
        <v>1</v>
      </c>
      <c r="B21">
        <f>AVERAGE(B1:B20)</f>
        <v>0.609721098498994</v>
      </c>
      <c r="E21" s="23">
        <f t="shared" si="1"/>
        <v>1066.98620092382</v>
      </c>
      <c r="F21" s="22">
        <f t="shared" si="0"/>
        <v>5.33493100461911</v>
      </c>
    </row>
    <row r="22" spans="1:6">
      <c r="A22" t="s">
        <v>2</v>
      </c>
      <c r="B22">
        <f>_xlfn.STDEV.S(B1:B20)</f>
        <v>0.79596834456714</v>
      </c>
      <c r="E22" s="23">
        <f t="shared" si="1"/>
        <v>1072.32113192844</v>
      </c>
      <c r="F22" s="22">
        <f t="shared" si="0"/>
        <v>5.36160565964221</v>
      </c>
    </row>
    <row r="23" spans="1:6">
      <c r="A23" t="s">
        <v>3</v>
      </c>
      <c r="B23">
        <f>COUNT(B1:B20)</f>
        <v>20</v>
      </c>
      <c r="E23" s="23">
        <f t="shared" si="1"/>
        <v>1077.68273758808</v>
      </c>
      <c r="F23" s="22">
        <f t="shared" si="0"/>
        <v>5.38841368794042</v>
      </c>
    </row>
    <row r="24" spans="1:6">
      <c r="E24" s="23">
        <f t="shared" si="1"/>
        <v>1083.07115127602</v>
      </c>
      <c r="F24" s="22">
        <f t="shared" si="0"/>
        <v>5.41535575638012</v>
      </c>
    </row>
    <row r="25" spans="1:6">
      <c r="E25" s="23">
        <f t="shared" si="1"/>
        <v>1088.4865070324</v>
      </c>
      <c r="F25" s="22">
        <f t="shared" si="0"/>
        <v>5.44243253516202</v>
      </c>
    </row>
    <row r="26" spans="1:6">
      <c r="E26" s="23">
        <f t="shared" si="1"/>
        <v>1093.92893956757</v>
      </c>
      <c r="F26" s="22">
        <f t="shared" si="0"/>
        <v>5.46964469783783</v>
      </c>
    </row>
    <row r="27" spans="1:6">
      <c r="E27" s="23">
        <f t="shared" si="1"/>
        <v>1099.3985842654</v>
      </c>
      <c r="F27" s="22">
        <f t="shared" si="0"/>
        <v>5.49699292132702</v>
      </c>
    </row>
    <row r="28" spans="1:6">
      <c r="E28" s="23">
        <f t="shared" si="1"/>
        <v>1104.89557718673</v>
      </c>
      <c r="F28" s="22">
        <f t="shared" si="0"/>
        <v>5.52447788593365</v>
      </c>
    </row>
    <row r="29" spans="1:6">
      <c r="E29" s="23">
        <f t="shared" si="1"/>
        <v>1110.42005507266</v>
      </c>
      <c r="F29" s="22">
        <f t="shared" si="0"/>
        <v>5.55210027536332</v>
      </c>
    </row>
    <row r="30" spans="1:6">
      <c r="E30" s="23">
        <f t="shared" si="1"/>
        <v>1115.97215534803</v>
      </c>
      <c r="F30" s="22">
        <f t="shared" si="0"/>
        <v>5.57986077674014</v>
      </c>
    </row>
    <row r="31" spans="1:6">
      <c r="E31" s="23">
        <f t="shared" si="1"/>
        <v>1121.55201612477</v>
      </c>
      <c r="F31" s="22">
        <f t="shared" si="0"/>
        <v>5.60776008062384</v>
      </c>
    </row>
    <row r="32" spans="1:6">
      <c r="E32" s="23">
        <f t="shared" si="1"/>
        <v>1127.15977620539</v>
      </c>
      <c r="F32" s="22">
        <f t="shared" si="0"/>
        <v>5.63579888102696</v>
      </c>
    </row>
    <row r="33" spans="5:6">
      <c r="E33" s="23">
        <f t="shared" si="1"/>
        <v>1132.79557508642</v>
      </c>
      <c r="F33" s="22">
        <f t="shared" si="0"/>
        <v>5.66397787543209</v>
      </c>
    </row>
    <row r="34" spans="5:6">
      <c r="E34" s="23">
        <f t="shared" si="1"/>
        <v>1138.45955296185</v>
      </c>
      <c r="F34" s="22">
        <f t="shared" si="0"/>
        <v>5.69229776480925</v>
      </c>
    </row>
    <row r="35" spans="5:6">
      <c r="E35" s="23">
        <f t="shared" si="1"/>
        <v>1144.15185072666</v>
      </c>
      <c r="F35" s="22">
        <f t="shared" si="0"/>
        <v>5.7207592536333</v>
      </c>
    </row>
    <row r="36" spans="5:6">
      <c r="E36" s="23">
        <f t="shared" si="1"/>
        <v>1149.87260998029</v>
      </c>
      <c r="F36" s="22">
        <f t="shared" si="0"/>
        <v>5.74936304990147</v>
      </c>
    </row>
    <row r="37" spans="5:6">
      <c r="E37" s="23">
        <f t="shared" si="1"/>
        <v>1155.62197303019</v>
      </c>
      <c r="F37" s="22">
        <f t="shared" si="0"/>
        <v>5.77810986515097</v>
      </c>
    </row>
    <row r="38" spans="5:6">
      <c r="E38" s="23">
        <f t="shared" si="1"/>
        <v>1161.40008289535</v>
      </c>
      <c r="F38" s="22">
        <f t="shared" si="0"/>
        <v>5.80700041447673</v>
      </c>
    </row>
    <row r="39" spans="5:6">
      <c r="E39" s="23">
        <f t="shared" si="1"/>
        <v>1167.20708330982</v>
      </c>
      <c r="F39" s="22">
        <f t="shared" si="0"/>
        <v>5.83603541654911</v>
      </c>
    </row>
    <row r="40" spans="5:6">
      <c r="E40" s="23">
        <f t="shared" si="1"/>
        <v>1173.04311872637</v>
      </c>
      <c r="F40" s="22">
        <f t="shared" si="0"/>
        <v>5.86521559363186</v>
      </c>
    </row>
    <row r="41" spans="5:6">
      <c r="E41" s="23">
        <f t="shared" si="1"/>
        <v>1178.90833432</v>
      </c>
      <c r="F41" s="22">
        <f t="shared" si="0"/>
        <v>5.89454167160002</v>
      </c>
    </row>
    <row r="42" spans="5:6">
      <c r="E42" s="23">
        <f t="shared" si="1"/>
        <v>1184.8028759916</v>
      </c>
      <c r="F42" s="22">
        <f t="shared" si="0"/>
        <v>5.92401437995802</v>
      </c>
    </row>
    <row r="43" spans="5:6">
      <c r="E43" s="23">
        <f t="shared" si="1"/>
        <v>1190.72689037156</v>
      </c>
      <c r="F43" s="22">
        <f t="shared" si="0"/>
        <v>5.95363445185781</v>
      </c>
    </row>
    <row r="44" spans="5:6">
      <c r="E44" s="23">
        <f t="shared" si="1"/>
        <v>1196.68052482342</v>
      </c>
      <c r="F44" s="22">
        <f t="shared" si="0"/>
        <v>5.98340262411709</v>
      </c>
    </row>
    <row r="45" spans="5:6">
      <c r="E45" s="23">
        <f t="shared" si="1"/>
        <v>1202.66392744754</v>
      </c>
      <c r="F45" s="22">
        <f t="shared" si="0"/>
        <v>6.01331963723768</v>
      </c>
    </row>
    <row r="46" spans="5:6">
      <c r="E46" s="23">
        <f t="shared" si="1"/>
        <v>1208.67724708477</v>
      </c>
      <c r="F46" s="22">
        <f t="shared" si="0"/>
        <v>6.04338623542387</v>
      </c>
    </row>
    <row r="47" spans="5:6">
      <c r="E47" s="23">
        <f t="shared" si="1"/>
        <v>1214.7206333202</v>
      </c>
      <c r="F47" s="22">
        <f t="shared" si="0"/>
        <v>6.07360316660099</v>
      </c>
    </row>
    <row r="48" spans="5:6">
      <c r="E48" s="23">
        <f t="shared" si="1"/>
        <v>1220.7942364868</v>
      </c>
      <c r="F48" s="22">
        <f t="shared" si="0"/>
        <v>6.10397118243399</v>
      </c>
    </row>
    <row r="49" spans="5:6">
      <c r="E49" s="23">
        <f t="shared" si="1"/>
        <v>1226.89820766923</v>
      </c>
      <c r="F49" s="22">
        <f t="shared" si="0"/>
        <v>6.13449103834616</v>
      </c>
    </row>
    <row r="50" spans="5:6">
      <c r="E50" s="23">
        <f t="shared" si="1"/>
        <v>1233.03269870758</v>
      </c>
      <c r="F50" s="22">
        <f t="shared" si="0"/>
        <v>6.16516349353789</v>
      </c>
    </row>
    <row r="51" spans="5:6">
      <c r="E51" s="23">
        <f t="shared" si="1"/>
        <v>1239.19786220112</v>
      </c>
      <c r="F51" s="22">
        <f t="shared" si="0"/>
        <v>6.19598931100558</v>
      </c>
    </row>
    <row r="52" spans="5:6">
      <c r="E52" s="23">
        <f t="shared" si="1"/>
        <v>1245.39385151212</v>
      </c>
      <c r="F52" s="22">
        <f t="shared" si="0"/>
        <v>6.22696925756061</v>
      </c>
    </row>
    <row r="53" spans="5:6">
      <c r="E53" s="23">
        <f t="shared" si="1"/>
        <v>1251.62082076968</v>
      </c>
      <c r="F53" s="22">
        <f t="shared" si="0"/>
        <v>6.25810410384841</v>
      </c>
    </row>
    <row r="54" spans="5:6">
      <c r="E54" s="23">
        <f t="shared" si="1"/>
        <v>1257.87892487353</v>
      </c>
      <c r="F54" s="22">
        <f t="shared" si="0"/>
        <v>6.28939462436766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I26"/>
  <sheetViews>
    <sheetView tabSelected="1" topLeftCell="A4" workbookViewId="0">
      <selection activeCell="B24" sqref="B24"/>
    </sheetView>
  </sheetViews>
  <sheetFormatPr defaultColWidth="8.77777777777778" defaultRowHeight="14.4"/>
  <cols>
    <col min="1" max="1" width="10.5555555555556" customWidth="1"/>
    <col min="2" max="2" width="32.5555555555556" customWidth="1"/>
    <col min="3" max="3" width="10.1111111111111" customWidth="1"/>
  </cols>
  <sheetData>
    <row r="4" spans="1:9">
      <c r="A4" s="3"/>
      <c r="B4" s="4" t="s">
        <v>4</v>
      </c>
      <c r="C4" s="4"/>
      <c r="D4" s="4"/>
      <c r="E4" s="4"/>
      <c r="F4" s="4"/>
      <c r="G4" s="4"/>
      <c r="H4" s="5"/>
    </row>
    <row r="5" spans="1:9">
      <c r="A5" s="6"/>
      <c r="B5" s="7"/>
      <c r="C5" s="8">
        <v>0</v>
      </c>
      <c r="D5" s="8">
        <v>1</v>
      </c>
      <c r="E5" s="8">
        <v>2</v>
      </c>
      <c r="F5" s="8">
        <v>3</v>
      </c>
      <c r="G5" s="8">
        <v>4</v>
      </c>
      <c r="H5" s="9" t="s">
        <v>5</v>
      </c>
      <c r="I5" t="s">
        <v>6</v>
      </c>
    </row>
    <row r="6" spans="1:9">
      <c r="A6" s="10" t="s">
        <v>7</v>
      </c>
      <c r="B6" s="7" t="s">
        <v>8</v>
      </c>
      <c r="C6" s="2">
        <v>149</v>
      </c>
      <c r="D6" s="2">
        <v>112</v>
      </c>
      <c r="E6" s="2">
        <v>72</v>
      </c>
      <c r="F6" s="2">
        <v>50</v>
      </c>
      <c r="G6" s="2">
        <v>46</v>
      </c>
      <c r="H6" s="11">
        <v>100</v>
      </c>
      <c r="I6">
        <f>SUM(C6:H6)</f>
        <v>529</v>
      </c>
    </row>
    <row r="7" spans="1:9">
      <c r="A7" s="12"/>
      <c r="B7" s="13" t="s">
        <v>9</v>
      </c>
      <c r="C7" s="14">
        <v>203</v>
      </c>
      <c r="D7" s="14">
        <v>141</v>
      </c>
      <c r="E7" s="14">
        <v>104</v>
      </c>
      <c r="F7" s="14">
        <v>109</v>
      </c>
      <c r="G7" s="14">
        <v>86</v>
      </c>
      <c r="H7" s="15">
        <v>147</v>
      </c>
      <c r="I7">
        <f>SUM(C7:H7)</f>
        <v>790</v>
      </c>
    </row>
    <row r="8" spans="1:9">
      <c r="B8" t="s">
        <v>10</v>
      </c>
      <c r="C8">
        <f>SUM(C6:C7)</f>
        <v>352</v>
      </c>
      <c r="D8">
        <f>SUM(D6:D7)</f>
        <v>253</v>
      </c>
      <c r="E8">
        <f t="shared" ref="D8:I8" si="0">SUM(E6:E7)</f>
        <v>176</v>
      </c>
      <c r="F8">
        <f t="shared" si="0"/>
        <v>159</v>
      </c>
      <c r="G8">
        <f t="shared" si="0"/>
        <v>132</v>
      </c>
      <c r="H8">
        <f t="shared" si="0"/>
        <v>247</v>
      </c>
      <c r="I8">
        <f t="shared" si="0"/>
        <v>1319</v>
      </c>
    </row>
    <row r="11" spans="1:9">
      <c r="A11" s="3"/>
      <c r="B11" s="4" t="s">
        <v>11</v>
      </c>
      <c r="C11" s="4"/>
      <c r="D11" s="4"/>
      <c r="E11" s="4"/>
      <c r="F11" s="4"/>
      <c r="G11" s="4"/>
      <c r="H11" s="5"/>
    </row>
    <row r="12" spans="1:9">
      <c r="A12" s="6"/>
      <c r="B12" s="7"/>
      <c r="C12" s="8">
        <v>0</v>
      </c>
      <c r="D12" s="8">
        <v>1</v>
      </c>
      <c r="E12" s="8">
        <v>2</v>
      </c>
      <c r="F12" s="8">
        <v>3</v>
      </c>
      <c r="G12" s="8">
        <v>4</v>
      </c>
      <c r="H12" s="9" t="s">
        <v>5</v>
      </c>
    </row>
    <row r="13" spans="1:9">
      <c r="A13" s="10" t="s">
        <v>7</v>
      </c>
      <c r="B13" s="7" t="s">
        <v>8</v>
      </c>
      <c r="C13" s="16">
        <f>C$8*$I6/$I$8</f>
        <v>141.173616376042</v>
      </c>
      <c r="D13" s="16">
        <f>D$8*$I6/$I$8</f>
        <v>101.468536770281</v>
      </c>
      <c r="E13" s="16">
        <f t="shared" ref="D13:H13" si="1">E$8*$I6/$I$8</f>
        <v>70.5868081880212</v>
      </c>
      <c r="F13" s="16">
        <f t="shared" si="1"/>
        <v>63.7687642153146</v>
      </c>
      <c r="G13" s="16">
        <f t="shared" si="1"/>
        <v>52.9401061410159</v>
      </c>
      <c r="H13" s="16">
        <f t="shared" si="1"/>
        <v>99.0621683093252</v>
      </c>
    </row>
    <row r="14" spans="1:9">
      <c r="A14" s="12"/>
      <c r="B14" s="13" t="s">
        <v>9</v>
      </c>
      <c r="C14" s="16">
        <f>C$8*I$7/$I$8</f>
        <v>210.826383623958</v>
      </c>
      <c r="D14" s="16">
        <f>D$8*$I7/$I$8</f>
        <v>151.531463229719</v>
      </c>
      <c r="E14" s="16">
        <f t="shared" ref="E14:H14" si="2">E$8*$I7/$I$8</f>
        <v>105.413191811979</v>
      </c>
      <c r="F14" s="16">
        <f t="shared" si="2"/>
        <v>95.2312357846854</v>
      </c>
      <c r="G14" s="16">
        <f t="shared" si="2"/>
        <v>79.0598938589841</v>
      </c>
      <c r="H14" s="16">
        <f t="shared" si="2"/>
        <v>147.937831690675</v>
      </c>
    </row>
    <row r="16" spans="1:9">
      <c r="A16" s="3"/>
      <c r="B16" s="4" t="s">
        <v>12</v>
      </c>
      <c r="C16" s="4"/>
      <c r="D16" s="4"/>
      <c r="E16" s="4"/>
      <c r="F16" s="4"/>
      <c r="G16" s="4"/>
      <c r="H16" s="5"/>
    </row>
    <row r="17" spans="1:8">
      <c r="A17" s="6"/>
      <c r="B17" s="7"/>
      <c r="C17" s="8">
        <v>0</v>
      </c>
      <c r="D17" s="8">
        <v>1</v>
      </c>
      <c r="E17" s="8">
        <v>2</v>
      </c>
      <c r="F17" s="8">
        <v>3</v>
      </c>
      <c r="G17" s="8">
        <v>4</v>
      </c>
      <c r="H17" s="9" t="s">
        <v>5</v>
      </c>
    </row>
    <row r="18" spans="1:8">
      <c r="A18" s="10" t="s">
        <v>7</v>
      </c>
      <c r="B18" s="7" t="s">
        <v>8</v>
      </c>
      <c r="C18" s="17">
        <f>(C6-C13)/SQRT(C13)</f>
        <v>0.658694992393395</v>
      </c>
      <c r="D18" s="17">
        <f t="shared" ref="D18:H18" si="3">(D6-D13)/SQRT(D13)</f>
        <v>1.04549754397625</v>
      </c>
      <c r="E18" s="17">
        <f t="shared" si="3"/>
        <v>0.168205170022998</v>
      </c>
      <c r="F18" s="17">
        <f t="shared" si="3"/>
        <v>-1.72421318764049</v>
      </c>
      <c r="G18" s="17">
        <f t="shared" si="3"/>
        <v>-0.953835997807218</v>
      </c>
      <c r="H18" s="17">
        <f t="shared" si="3"/>
        <v>0.0942260507672187</v>
      </c>
    </row>
    <row r="19" spans="1:8">
      <c r="A19" s="12"/>
      <c r="B19" s="13" t="s">
        <v>9</v>
      </c>
      <c r="C19" s="17">
        <f>(C7-C14)/SQRT(C14)</f>
        <v>-0.539012270825291</v>
      </c>
      <c r="D19" s="17">
        <f t="shared" ref="D19:H19" si="4">(D7-D14)/SQRT(D14)</f>
        <v>-0.855534066341197</v>
      </c>
      <c r="E19" s="17">
        <f t="shared" si="4"/>
        <v>-0.137642841839767</v>
      </c>
      <c r="F19" s="17">
        <f t="shared" si="4"/>
        <v>1.41092930170929</v>
      </c>
      <c r="G19" s="17">
        <f t="shared" si="4"/>
        <v>0.780527122735313</v>
      </c>
      <c r="H19" s="17">
        <f t="shared" si="4"/>
        <v>-0.0771054861224827</v>
      </c>
    </row>
    <row r="22" spans="1:8">
      <c r="A22" t="s">
        <v>13</v>
      </c>
      <c r="B22" s="16" cm="1">
        <f t="array" ref="B22">SUM((C18:H19)^2)</f>
        <v>9.09413762089422</v>
      </c>
    </row>
    <row r="23" spans="1:8">
      <c r="A23" t="s">
        <v>14</v>
      </c>
      <c r="B23" s="16">
        <v>5</v>
      </c>
    </row>
    <row r="24" spans="1:8">
      <c r="A24" t="s">
        <v>15</v>
      </c>
      <c r="B24" s="16">
        <f>1-_xlfn.CHISQ.DIST(B22,B23,TRUE)</f>
        <v>0.105367725191582</v>
      </c>
    </row>
    <row r="25" spans="1:8">
      <c r="B25" s="16"/>
    </row>
    <row r="26" spans="1:8">
      <c r="A26" t="s">
        <v>16</v>
      </c>
      <c r="B26" s="16">
        <f>_xlfn.CHISQ.TEST(C6:H7,C13:H14)</f>
        <v>0.105367725191582</v>
      </c>
    </row>
  </sheetData>
  <mergeCells count="3">
    <mergeCell ref="B4:H4"/>
    <mergeCell ref="B11:H11"/>
    <mergeCell ref="B16:H1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G21" sqref="G21"/>
    </sheetView>
  </sheetViews>
  <sheetFormatPr defaultColWidth="8.77777777777778" defaultRowHeight="14.4" outlineLevelRow="7"/>
  <sheetData>
    <row r="1" spans="1:15">
      <c r="A1">
        <v>8</v>
      </c>
      <c r="B1">
        <v>9</v>
      </c>
      <c r="C1">
        <v>10</v>
      </c>
      <c r="D1">
        <v>10</v>
      </c>
      <c r="E1">
        <v>10</v>
      </c>
      <c r="F1">
        <v>10</v>
      </c>
      <c r="G1">
        <v>10</v>
      </c>
      <c r="H1">
        <v>10</v>
      </c>
      <c r="I1">
        <v>11</v>
      </c>
      <c r="J1">
        <v>11</v>
      </c>
      <c r="K1">
        <v>11</v>
      </c>
      <c r="L1">
        <v>11</v>
      </c>
      <c r="M1">
        <v>12</v>
      </c>
      <c r="N1">
        <v>12</v>
      </c>
      <c r="O1">
        <v>13</v>
      </c>
    </row>
    <row r="2" spans="1:15">
      <c r="A2">
        <v>13</v>
      </c>
      <c r="B2">
        <v>13</v>
      </c>
      <c r="C2">
        <v>14</v>
      </c>
      <c r="D2">
        <v>14</v>
      </c>
      <c r="E2">
        <v>14</v>
      </c>
      <c r="F2">
        <v>15</v>
      </c>
      <c r="G2">
        <v>15</v>
      </c>
      <c r="H2">
        <v>15</v>
      </c>
      <c r="I2">
        <v>15</v>
      </c>
      <c r="J2">
        <v>15</v>
      </c>
      <c r="K2">
        <v>15</v>
      </c>
      <c r="L2">
        <v>15</v>
      </c>
      <c r="M2">
        <v>15</v>
      </c>
      <c r="N2">
        <v>16</v>
      </c>
      <c r="O2">
        <v>16</v>
      </c>
    </row>
    <row r="3" spans="1:15">
      <c r="A3">
        <v>16</v>
      </c>
      <c r="B3">
        <v>17</v>
      </c>
      <c r="C3">
        <v>17</v>
      </c>
      <c r="D3">
        <v>17</v>
      </c>
      <c r="E3">
        <v>17</v>
      </c>
      <c r="F3">
        <v>18</v>
      </c>
      <c r="G3">
        <v>18</v>
      </c>
      <c r="H3">
        <v>20</v>
      </c>
      <c r="I3">
        <v>22</v>
      </c>
      <c r="J3">
        <v>25</v>
      </c>
      <c r="K3">
        <v>27</v>
      </c>
      <c r="L3">
        <v>35</v>
      </c>
      <c r="M3">
        <v>38</v>
      </c>
      <c r="N3">
        <v>40</v>
      </c>
    </row>
    <row r="4" spans="1:15">
      <c r="A4">
        <v>24</v>
      </c>
      <c r="B4">
        <v>25</v>
      </c>
      <c r="C4">
        <v>27</v>
      </c>
      <c r="D4">
        <v>30</v>
      </c>
      <c r="E4">
        <v>30</v>
      </c>
      <c r="F4">
        <v>30</v>
      </c>
      <c r="G4">
        <v>30</v>
      </c>
      <c r="H4">
        <v>30</v>
      </c>
      <c r="I4">
        <v>30</v>
      </c>
      <c r="J4">
        <v>32</v>
      </c>
      <c r="K4">
        <v>32</v>
      </c>
      <c r="L4">
        <v>33</v>
      </c>
      <c r="M4">
        <v>34</v>
      </c>
      <c r="N4">
        <v>34</v>
      </c>
      <c r="O4">
        <v>34</v>
      </c>
    </row>
    <row r="5" spans="1:15">
      <c r="A5">
        <v>35</v>
      </c>
      <c r="B5">
        <v>35</v>
      </c>
      <c r="C5">
        <v>36</v>
      </c>
      <c r="D5">
        <v>36</v>
      </c>
      <c r="E5">
        <v>36</v>
      </c>
      <c r="F5">
        <v>37</v>
      </c>
      <c r="G5">
        <v>37</v>
      </c>
      <c r="H5">
        <v>40</v>
      </c>
      <c r="I5">
        <v>40</v>
      </c>
      <c r="J5">
        <v>40</v>
      </c>
      <c r="K5">
        <v>40</v>
      </c>
      <c r="L5">
        <v>40</v>
      </c>
      <c r="M5">
        <v>40</v>
      </c>
      <c r="N5">
        <v>40</v>
      </c>
      <c r="O5">
        <v>40</v>
      </c>
    </row>
    <row r="6" spans="1:15">
      <c r="A6">
        <v>40</v>
      </c>
      <c r="B6">
        <v>41</v>
      </c>
      <c r="C6">
        <v>41</v>
      </c>
      <c r="D6">
        <v>42</v>
      </c>
      <c r="E6">
        <v>42</v>
      </c>
      <c r="F6">
        <v>42</v>
      </c>
      <c r="G6">
        <v>42</v>
      </c>
      <c r="H6">
        <v>43</v>
      </c>
      <c r="I6">
        <v>43</v>
      </c>
      <c r="J6">
        <v>44</v>
      </c>
      <c r="K6">
        <v>44</v>
      </c>
      <c r="L6">
        <v>44</v>
      </c>
      <c r="M6">
        <v>45</v>
      </c>
      <c r="N6">
        <v>45</v>
      </c>
      <c r="O6">
        <v>45</v>
      </c>
    </row>
    <row r="7" spans="1:15">
      <c r="A7">
        <v>45</v>
      </c>
      <c r="B7">
        <v>45</v>
      </c>
      <c r="C7">
        <v>45</v>
      </c>
      <c r="D7">
        <v>46</v>
      </c>
      <c r="E7">
        <v>46</v>
      </c>
      <c r="F7">
        <v>47</v>
      </c>
      <c r="G7">
        <v>48</v>
      </c>
      <c r="H7">
        <v>48</v>
      </c>
      <c r="I7">
        <v>50</v>
      </c>
      <c r="J7">
        <v>50</v>
      </c>
      <c r="K7">
        <v>50</v>
      </c>
      <c r="L7">
        <v>51</v>
      </c>
      <c r="M7">
        <v>54</v>
      </c>
      <c r="N7">
        <v>54</v>
      </c>
      <c r="O7">
        <v>54</v>
      </c>
    </row>
    <row r="8" spans="1:15">
      <c r="A8">
        <v>55</v>
      </c>
      <c r="B8">
        <v>55</v>
      </c>
      <c r="C8">
        <v>60</v>
      </c>
      <c r="D8">
        <v>60</v>
      </c>
      <c r="E8">
        <v>63</v>
      </c>
      <c r="F8">
        <v>70</v>
      </c>
      <c r="G8">
        <v>75</v>
      </c>
      <c r="H8">
        <v>80</v>
      </c>
      <c r="I8">
        <v>94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3"/>
  <sheetViews>
    <sheetView topLeftCell="A13" workbookViewId="0">
      <selection activeCell="H129" sqref="H129"/>
    </sheetView>
  </sheetViews>
  <sheetFormatPr defaultColWidth="8.77777777777778" defaultRowHeight="14.4" outlineLevelCol="1"/>
  <cols>
    <col min="1" max="1" width="15" customWidth="1"/>
    <col min="2" max="2" width="8.77777777777778" customWidth="1"/>
  </cols>
  <sheetData>
    <row r="1" spans="1:2">
      <c r="A1" s="2" t="s">
        <v>17</v>
      </c>
      <c r="B1" s="2" t="s">
        <v>18</v>
      </c>
    </row>
    <row r="2" spans="1:2">
      <c r="A2" s="2" t="s">
        <v>19</v>
      </c>
      <c r="B2" s="2" t="s">
        <v>20</v>
      </c>
    </row>
    <row r="3" spans="1:2">
      <c r="A3" s="2" t="s">
        <v>19</v>
      </c>
      <c r="B3" s="2" t="s">
        <v>20</v>
      </c>
    </row>
    <row r="4" spans="1:2">
      <c r="A4" s="2" t="s">
        <v>19</v>
      </c>
      <c r="B4" s="2" t="s">
        <v>20</v>
      </c>
    </row>
    <row r="5" spans="1:2">
      <c r="A5" s="2" t="s">
        <v>19</v>
      </c>
      <c r="B5" s="2" t="s">
        <v>20</v>
      </c>
    </row>
    <row r="6" spans="1:2">
      <c r="A6" s="2" t="s">
        <v>19</v>
      </c>
      <c r="B6" s="2" t="s">
        <v>20</v>
      </c>
    </row>
    <row r="7" spans="1:2">
      <c r="A7" s="2" t="s">
        <v>19</v>
      </c>
      <c r="B7" s="2" t="s">
        <v>20</v>
      </c>
    </row>
    <row r="8" spans="1:2">
      <c r="A8" s="2" t="s">
        <v>19</v>
      </c>
      <c r="B8" s="2" t="s">
        <v>20</v>
      </c>
    </row>
    <row r="9" spans="1:2">
      <c r="A9" s="2" t="s">
        <v>19</v>
      </c>
      <c r="B9" s="2" t="s">
        <v>20</v>
      </c>
    </row>
    <row r="10" spans="1:2">
      <c r="A10" s="2" t="s">
        <v>19</v>
      </c>
      <c r="B10" s="2" t="s">
        <v>20</v>
      </c>
    </row>
    <row r="11" spans="1:2">
      <c r="A11" s="2" t="s">
        <v>19</v>
      </c>
      <c r="B11" s="2" t="s">
        <v>20</v>
      </c>
    </row>
    <row r="12" spans="1:2">
      <c r="A12" s="2" t="s">
        <v>19</v>
      </c>
      <c r="B12" s="2" t="s">
        <v>20</v>
      </c>
    </row>
    <row r="13" spans="1:2">
      <c r="A13" s="2" t="s">
        <v>19</v>
      </c>
      <c r="B13" s="2" t="s">
        <v>20</v>
      </c>
    </row>
    <row r="14" spans="1:2">
      <c r="A14" s="2" t="s">
        <v>19</v>
      </c>
      <c r="B14" s="2" t="s">
        <v>21</v>
      </c>
    </row>
    <row r="15" spans="1:2">
      <c r="A15" s="2" t="s">
        <v>19</v>
      </c>
      <c r="B15" s="2" t="s">
        <v>21</v>
      </c>
    </row>
    <row r="16" spans="1:2">
      <c r="A16" s="2" t="s">
        <v>19</v>
      </c>
      <c r="B16" s="2" t="s">
        <v>22</v>
      </c>
    </row>
    <row r="17" spans="1:2">
      <c r="A17" s="2" t="s">
        <v>19</v>
      </c>
      <c r="B17" s="2" t="s">
        <v>22</v>
      </c>
    </row>
    <row r="18" spans="1:2">
      <c r="A18" s="2" t="s">
        <v>19</v>
      </c>
      <c r="B18" s="2" t="s">
        <v>22</v>
      </c>
    </row>
    <row r="19" spans="1:2">
      <c r="A19" s="2" t="s">
        <v>19</v>
      </c>
      <c r="B19" s="2" t="s">
        <v>22</v>
      </c>
    </row>
    <row r="20" spans="1:2">
      <c r="A20" s="2" t="s">
        <v>19</v>
      </c>
      <c r="B20" s="2" t="s">
        <v>22</v>
      </c>
    </row>
    <row r="21" spans="1:2">
      <c r="A21" s="2" t="s">
        <v>19</v>
      </c>
      <c r="B21" s="2" t="s">
        <v>22</v>
      </c>
    </row>
    <row r="22" spans="1:2">
      <c r="A22" s="2" t="s">
        <v>19</v>
      </c>
      <c r="B22" s="2" t="s">
        <v>22</v>
      </c>
    </row>
    <row r="23" spans="1:2">
      <c r="A23" s="2" t="s">
        <v>19</v>
      </c>
      <c r="B23" s="2" t="s">
        <v>22</v>
      </c>
    </row>
    <row r="24" spans="1:2">
      <c r="A24" s="2" t="s">
        <v>23</v>
      </c>
      <c r="B24" s="2" t="s">
        <v>20</v>
      </c>
    </row>
    <row r="25" spans="1:2">
      <c r="A25" s="2" t="s">
        <v>23</v>
      </c>
      <c r="B25" s="2" t="s">
        <v>20</v>
      </c>
    </row>
    <row r="26" spans="1:2">
      <c r="A26" s="2" t="s">
        <v>23</v>
      </c>
      <c r="B26" s="2" t="s">
        <v>20</v>
      </c>
    </row>
    <row r="27" spans="1:2">
      <c r="A27" s="2" t="s">
        <v>23</v>
      </c>
      <c r="B27" s="2" t="s">
        <v>20</v>
      </c>
    </row>
    <row r="28" spans="1:2">
      <c r="A28" s="2" t="s">
        <v>23</v>
      </c>
      <c r="B28" s="2" t="s">
        <v>20</v>
      </c>
    </row>
    <row r="29" spans="1:2">
      <c r="A29" s="2" t="s">
        <v>23</v>
      </c>
      <c r="B29" s="2" t="s">
        <v>20</v>
      </c>
    </row>
    <row r="30" spans="1:2">
      <c r="A30" s="2" t="s">
        <v>23</v>
      </c>
      <c r="B30" s="2" t="s">
        <v>20</v>
      </c>
    </row>
    <row r="31" spans="1:2">
      <c r="A31" s="2" t="s">
        <v>23</v>
      </c>
      <c r="B31" s="2" t="s">
        <v>20</v>
      </c>
    </row>
    <row r="32" spans="1:2">
      <c r="A32" s="2" t="s">
        <v>23</v>
      </c>
      <c r="B32" s="2" t="s">
        <v>20</v>
      </c>
    </row>
    <row r="33" spans="1:2">
      <c r="A33" s="2" t="s">
        <v>23</v>
      </c>
      <c r="B33" s="2" t="s">
        <v>20</v>
      </c>
    </row>
    <row r="34" spans="1:2">
      <c r="A34" s="2" t="s">
        <v>23</v>
      </c>
      <c r="B34" s="2" t="s">
        <v>20</v>
      </c>
    </row>
    <row r="35" spans="1:2">
      <c r="A35" s="2" t="s">
        <v>23</v>
      </c>
      <c r="B35" s="2" t="s">
        <v>20</v>
      </c>
    </row>
    <row r="36" spans="1:2">
      <c r="A36" s="2" t="s">
        <v>23</v>
      </c>
      <c r="B36" s="2" t="s">
        <v>21</v>
      </c>
    </row>
    <row r="37" spans="1:2">
      <c r="A37" s="2" t="s">
        <v>23</v>
      </c>
      <c r="B37" s="2" t="s">
        <v>21</v>
      </c>
    </row>
    <row r="38" spans="1:2">
      <c r="A38" s="2" t="s">
        <v>23</v>
      </c>
      <c r="B38" s="2" t="s">
        <v>22</v>
      </c>
    </row>
    <row r="39" spans="1:2">
      <c r="A39" s="2" t="s">
        <v>23</v>
      </c>
      <c r="B39" s="2" t="s">
        <v>22</v>
      </c>
    </row>
    <row r="40" spans="1:2">
      <c r="A40" s="2" t="s">
        <v>23</v>
      </c>
      <c r="B40" s="2" t="s">
        <v>22</v>
      </c>
    </row>
    <row r="41" spans="1:2">
      <c r="A41" s="2" t="s">
        <v>23</v>
      </c>
      <c r="B41" s="2" t="s">
        <v>22</v>
      </c>
    </row>
    <row r="42" spans="1:2">
      <c r="A42" s="2" t="s">
        <v>23</v>
      </c>
      <c r="B42" s="2" t="s">
        <v>22</v>
      </c>
    </row>
    <row r="43" spans="1:2">
      <c r="A43" s="2" t="s">
        <v>23</v>
      </c>
      <c r="B43" s="2" t="s">
        <v>22</v>
      </c>
    </row>
    <row r="44" spans="1:2">
      <c r="A44" s="2" t="s">
        <v>23</v>
      </c>
      <c r="B44" s="2" t="s">
        <v>22</v>
      </c>
    </row>
    <row r="45" spans="1:2">
      <c r="A45" s="2" t="s">
        <v>23</v>
      </c>
      <c r="B45" s="2" t="s">
        <v>22</v>
      </c>
    </row>
    <row r="46" spans="1:2">
      <c r="A46" s="2" t="s">
        <v>24</v>
      </c>
      <c r="B46" s="2" t="s">
        <v>20</v>
      </c>
    </row>
    <row r="47" spans="1:2">
      <c r="A47" s="2" t="s">
        <v>24</v>
      </c>
      <c r="B47" s="2" t="s">
        <v>20</v>
      </c>
    </row>
    <row r="48" spans="1:2">
      <c r="A48" s="2" t="s">
        <v>24</v>
      </c>
      <c r="B48" s="2" t="s">
        <v>20</v>
      </c>
    </row>
    <row r="49" spans="1:2">
      <c r="A49" s="2" t="s">
        <v>24</v>
      </c>
      <c r="B49" s="2" t="s">
        <v>20</v>
      </c>
    </row>
    <row r="50" spans="1:2">
      <c r="A50" s="2" t="s">
        <v>24</v>
      </c>
      <c r="B50" s="2" t="s">
        <v>20</v>
      </c>
    </row>
    <row r="51" spans="1:2">
      <c r="A51" s="2" t="s">
        <v>24</v>
      </c>
      <c r="B51" s="2" t="s">
        <v>20</v>
      </c>
    </row>
    <row r="52" spans="1:2">
      <c r="A52" s="2" t="s">
        <v>24</v>
      </c>
      <c r="B52" s="2" t="s">
        <v>20</v>
      </c>
    </row>
    <row r="53" spans="1:2">
      <c r="A53" s="2" t="s">
        <v>24</v>
      </c>
      <c r="B53" s="2" t="s">
        <v>20</v>
      </c>
    </row>
    <row r="54" spans="1:2">
      <c r="A54" s="2" t="s">
        <v>24</v>
      </c>
      <c r="B54" s="2" t="s">
        <v>20</v>
      </c>
    </row>
    <row r="55" spans="1:2">
      <c r="A55" s="2" t="s">
        <v>24</v>
      </c>
      <c r="B55" s="2" t="s">
        <v>20</v>
      </c>
    </row>
    <row r="56" spans="1:2">
      <c r="A56" s="2" t="s">
        <v>24</v>
      </c>
      <c r="B56" s="2" t="s">
        <v>20</v>
      </c>
    </row>
    <row r="57" spans="1:2">
      <c r="A57" s="2" t="s">
        <v>24</v>
      </c>
      <c r="B57" s="2" t="s">
        <v>20</v>
      </c>
    </row>
    <row r="58" spans="1:2">
      <c r="A58" s="2" t="s">
        <v>24</v>
      </c>
      <c r="B58" s="2" t="s">
        <v>21</v>
      </c>
    </row>
    <row r="59" spans="1:2">
      <c r="A59" s="2" t="s">
        <v>24</v>
      </c>
      <c r="B59" s="2" t="s">
        <v>21</v>
      </c>
    </row>
    <row r="60" spans="1:2">
      <c r="A60" s="2" t="s">
        <v>24</v>
      </c>
      <c r="B60" s="2" t="s">
        <v>22</v>
      </c>
    </row>
    <row r="61" spans="1:2">
      <c r="A61" s="2" t="s">
        <v>24</v>
      </c>
      <c r="B61" s="2" t="s">
        <v>22</v>
      </c>
    </row>
    <row r="62" spans="1:2">
      <c r="A62" s="2" t="s">
        <v>24</v>
      </c>
      <c r="B62" s="2" t="s">
        <v>22</v>
      </c>
    </row>
    <row r="63" spans="1:2">
      <c r="A63" s="2" t="s">
        <v>24</v>
      </c>
      <c r="B63" s="2" t="s">
        <v>22</v>
      </c>
    </row>
    <row r="64" spans="1:2">
      <c r="A64" s="2" t="s">
        <v>24</v>
      </c>
      <c r="B64" s="2" t="s">
        <v>22</v>
      </c>
    </row>
    <row r="65" spans="1:2">
      <c r="A65" s="2" t="s">
        <v>24</v>
      </c>
      <c r="B65" s="2" t="s">
        <v>22</v>
      </c>
    </row>
    <row r="66" spans="1:2">
      <c r="A66" s="2" t="s">
        <v>24</v>
      </c>
      <c r="B66" s="2" t="s">
        <v>22</v>
      </c>
    </row>
    <row r="67" spans="1:2">
      <c r="A67" s="2" t="s">
        <v>24</v>
      </c>
      <c r="B67" s="2" t="s">
        <v>22</v>
      </c>
    </row>
    <row r="68" spans="1:2">
      <c r="A68" s="2" t="s">
        <v>25</v>
      </c>
      <c r="B68" s="2" t="s">
        <v>20</v>
      </c>
    </row>
    <row r="69" spans="1:2">
      <c r="A69" s="2" t="s">
        <v>25</v>
      </c>
      <c r="B69" s="2" t="s">
        <v>20</v>
      </c>
    </row>
    <row r="70" spans="1:2">
      <c r="A70" s="2" t="s">
        <v>25</v>
      </c>
      <c r="B70" s="2" t="s">
        <v>20</v>
      </c>
    </row>
    <row r="71" spans="1:2">
      <c r="A71" s="2" t="s">
        <v>25</v>
      </c>
      <c r="B71" s="2" t="s">
        <v>20</v>
      </c>
    </row>
    <row r="72" spans="1:2">
      <c r="A72" s="2" t="s">
        <v>25</v>
      </c>
      <c r="B72" s="2" t="s">
        <v>20</v>
      </c>
    </row>
    <row r="73" spans="1:2">
      <c r="A73" s="2" t="s">
        <v>25</v>
      </c>
      <c r="B73" s="2" t="s">
        <v>20</v>
      </c>
    </row>
    <row r="74" spans="1:2">
      <c r="A74" s="2" t="s">
        <v>25</v>
      </c>
      <c r="B74" s="2" t="s">
        <v>20</v>
      </c>
    </row>
    <row r="75" spans="1:2">
      <c r="A75" s="2" t="s">
        <v>25</v>
      </c>
      <c r="B75" s="2" t="s">
        <v>20</v>
      </c>
    </row>
    <row r="76" spans="1:2">
      <c r="A76" s="2" t="s">
        <v>25</v>
      </c>
      <c r="B76" s="2" t="s">
        <v>20</v>
      </c>
    </row>
    <row r="77" spans="1:2">
      <c r="A77" s="2" t="s">
        <v>25</v>
      </c>
      <c r="B77" s="2" t="s">
        <v>20</v>
      </c>
    </row>
    <row r="78" spans="1:2">
      <c r="A78" s="2" t="s">
        <v>25</v>
      </c>
      <c r="B78" s="2" t="s">
        <v>20</v>
      </c>
    </row>
    <row r="79" spans="1:2">
      <c r="A79" s="2" t="s">
        <v>25</v>
      </c>
      <c r="B79" s="2" t="s">
        <v>20</v>
      </c>
    </row>
    <row r="80" spans="1:2">
      <c r="A80" s="2" t="s">
        <v>25</v>
      </c>
      <c r="B80" s="2" t="s">
        <v>21</v>
      </c>
    </row>
    <row r="81" spans="1:2">
      <c r="A81" s="2" t="s">
        <v>25</v>
      </c>
      <c r="B81" s="2" t="s">
        <v>21</v>
      </c>
    </row>
    <row r="82" spans="1:2">
      <c r="A82" s="2" t="s">
        <v>25</v>
      </c>
      <c r="B82" s="2" t="s">
        <v>22</v>
      </c>
    </row>
    <row r="83" spans="1:2">
      <c r="A83" s="2" t="s">
        <v>25</v>
      </c>
      <c r="B83" s="2" t="s">
        <v>22</v>
      </c>
    </row>
    <row r="84" spans="1:2">
      <c r="A84" s="2" t="s">
        <v>25</v>
      </c>
      <c r="B84" s="2" t="s">
        <v>22</v>
      </c>
    </row>
    <row r="85" spans="1:2">
      <c r="A85" s="2" t="s">
        <v>25</v>
      </c>
      <c r="B85" s="2" t="s">
        <v>22</v>
      </c>
    </row>
    <row r="86" spans="1:2">
      <c r="A86" s="2" t="s">
        <v>25</v>
      </c>
      <c r="B86" s="2" t="s">
        <v>22</v>
      </c>
    </row>
    <row r="87" spans="1:2">
      <c r="A87" s="2" t="s">
        <v>25</v>
      </c>
      <c r="B87" s="2" t="s">
        <v>22</v>
      </c>
    </row>
    <row r="88" spans="1:2">
      <c r="A88" s="2" t="s">
        <v>25</v>
      </c>
      <c r="B88" s="2" t="s">
        <v>22</v>
      </c>
    </row>
    <row r="89" spans="1:2">
      <c r="A89" s="2" t="s">
        <v>25</v>
      </c>
      <c r="B89" s="2" t="s">
        <v>22</v>
      </c>
    </row>
    <row r="90" spans="1:2">
      <c r="A90" s="2" t="s">
        <v>26</v>
      </c>
      <c r="B90" s="2" t="s">
        <v>20</v>
      </c>
    </row>
    <row r="91" spans="1:2">
      <c r="A91" s="2" t="s">
        <v>26</v>
      </c>
      <c r="B91" s="2" t="s">
        <v>20</v>
      </c>
    </row>
    <row r="92" spans="1:2">
      <c r="A92" s="2" t="s">
        <v>26</v>
      </c>
      <c r="B92" s="2" t="s">
        <v>20</v>
      </c>
    </row>
    <row r="93" spans="1:2">
      <c r="A93" s="2" t="s">
        <v>26</v>
      </c>
      <c r="B93" s="2" t="s">
        <v>20</v>
      </c>
    </row>
    <row r="94" spans="1:2">
      <c r="A94" s="2" t="s">
        <v>26</v>
      </c>
      <c r="B94" s="2" t="s">
        <v>20</v>
      </c>
    </row>
    <row r="95" spans="1:2">
      <c r="A95" s="2" t="s">
        <v>26</v>
      </c>
      <c r="B95" s="2" t="s">
        <v>20</v>
      </c>
    </row>
    <row r="96" spans="1:2">
      <c r="A96" s="2" t="s">
        <v>26</v>
      </c>
      <c r="B96" s="2" t="s">
        <v>20</v>
      </c>
    </row>
    <row r="97" spans="1:2">
      <c r="A97" s="2" t="s">
        <v>26</v>
      </c>
      <c r="B97" s="2" t="s">
        <v>20</v>
      </c>
    </row>
    <row r="98" spans="1:2">
      <c r="A98" s="2" t="s">
        <v>26</v>
      </c>
      <c r="B98" s="2" t="s">
        <v>20</v>
      </c>
    </row>
    <row r="99" spans="1:2">
      <c r="A99" s="2" t="s">
        <v>26</v>
      </c>
      <c r="B99" s="2" t="s">
        <v>20</v>
      </c>
    </row>
    <row r="100" spans="1:2">
      <c r="A100" s="2" t="s">
        <v>26</v>
      </c>
      <c r="B100" s="2" t="s">
        <v>20</v>
      </c>
    </row>
    <row r="101" spans="1:2">
      <c r="A101" s="2" t="s">
        <v>26</v>
      </c>
      <c r="B101" s="2" t="s">
        <v>20</v>
      </c>
    </row>
    <row r="102" spans="1:2">
      <c r="A102" s="2" t="s">
        <v>26</v>
      </c>
      <c r="B102" s="2" t="s">
        <v>21</v>
      </c>
    </row>
    <row r="103" spans="1:2">
      <c r="A103" s="2" t="s">
        <v>26</v>
      </c>
      <c r="B103" s="2" t="s">
        <v>21</v>
      </c>
    </row>
    <row r="104" spans="1:2">
      <c r="A104" s="2" t="s">
        <v>26</v>
      </c>
      <c r="B104" s="2" t="s">
        <v>22</v>
      </c>
    </row>
    <row r="105" spans="1:2">
      <c r="A105" s="2" t="s">
        <v>26</v>
      </c>
      <c r="B105" s="2" t="s">
        <v>22</v>
      </c>
    </row>
    <row r="106" spans="1:2">
      <c r="A106" s="2" t="s">
        <v>26</v>
      </c>
      <c r="B106" s="2" t="s">
        <v>22</v>
      </c>
    </row>
    <row r="107" spans="1:2">
      <c r="A107" s="2" t="s">
        <v>26</v>
      </c>
      <c r="B107" s="2" t="s">
        <v>22</v>
      </c>
    </row>
    <row r="108" spans="1:2">
      <c r="A108" s="2" t="s">
        <v>26</v>
      </c>
      <c r="B108" s="2" t="s">
        <v>22</v>
      </c>
    </row>
    <row r="109" spans="1:2">
      <c r="A109" s="2" t="s">
        <v>26</v>
      </c>
      <c r="B109" s="2" t="s">
        <v>22</v>
      </c>
    </row>
    <row r="110" spans="1:2">
      <c r="A110" s="2" t="s">
        <v>26</v>
      </c>
      <c r="B110" s="2" t="s">
        <v>22</v>
      </c>
    </row>
    <row r="111" spans="1:2">
      <c r="A111" s="2" t="s">
        <v>26</v>
      </c>
      <c r="B111" s="2" t="s">
        <v>22</v>
      </c>
    </row>
    <row r="112" spans="1:2">
      <c r="A112" s="2" t="s">
        <v>27</v>
      </c>
      <c r="B112" s="2" t="s">
        <v>20</v>
      </c>
    </row>
    <row r="113" spans="1:2">
      <c r="A113" s="2" t="s">
        <v>27</v>
      </c>
      <c r="B113" s="2" t="s">
        <v>20</v>
      </c>
    </row>
    <row r="114" spans="1:2">
      <c r="A114" s="2" t="s">
        <v>27</v>
      </c>
      <c r="B114" s="2" t="s">
        <v>20</v>
      </c>
    </row>
    <row r="115" spans="1:2">
      <c r="A115" s="2" t="s">
        <v>27</v>
      </c>
      <c r="B115" s="2" t="s">
        <v>20</v>
      </c>
    </row>
    <row r="116" spans="1:2">
      <c r="A116" s="2" t="s">
        <v>27</v>
      </c>
      <c r="B116" s="2" t="s">
        <v>20</v>
      </c>
    </row>
    <row r="117" spans="1:2">
      <c r="A117" s="2" t="s">
        <v>27</v>
      </c>
      <c r="B117" s="2" t="s">
        <v>20</v>
      </c>
    </row>
    <row r="118" spans="1:2">
      <c r="A118" s="2" t="s">
        <v>27</v>
      </c>
      <c r="B118" s="2" t="s">
        <v>20</v>
      </c>
    </row>
    <row r="119" spans="1:2">
      <c r="A119" s="2" t="s">
        <v>27</v>
      </c>
      <c r="B119" s="2" t="s">
        <v>20</v>
      </c>
    </row>
    <row r="120" spans="1:2">
      <c r="A120" s="2" t="s">
        <v>27</v>
      </c>
      <c r="B120" s="2" t="s">
        <v>20</v>
      </c>
    </row>
    <row r="121" spans="1:2">
      <c r="A121" s="2" t="s">
        <v>27</v>
      </c>
      <c r="B121" s="2" t="s">
        <v>20</v>
      </c>
    </row>
    <row r="122" spans="1:2">
      <c r="A122" s="2" t="s">
        <v>27</v>
      </c>
      <c r="B122" s="2" t="s">
        <v>20</v>
      </c>
    </row>
    <row r="123" spans="1:2">
      <c r="A123" s="2" t="s">
        <v>27</v>
      </c>
      <c r="B123" s="2" t="s">
        <v>20</v>
      </c>
    </row>
    <row r="124" spans="1:2">
      <c r="A124" s="2" t="s">
        <v>27</v>
      </c>
      <c r="B124" s="2" t="s">
        <v>21</v>
      </c>
    </row>
    <row r="125" spans="1:2">
      <c r="A125" s="2" t="s">
        <v>27</v>
      </c>
      <c r="B125" s="2" t="s">
        <v>21</v>
      </c>
    </row>
    <row r="126" spans="1:2">
      <c r="A126" s="2" t="s">
        <v>27</v>
      </c>
      <c r="B126" s="2" t="s">
        <v>22</v>
      </c>
    </row>
    <row r="127" spans="1:2">
      <c r="A127" s="2" t="s">
        <v>27</v>
      </c>
      <c r="B127" s="2" t="s">
        <v>22</v>
      </c>
    </row>
    <row r="128" spans="1:2">
      <c r="A128" s="2" t="s">
        <v>27</v>
      </c>
      <c r="B128" s="2" t="s">
        <v>22</v>
      </c>
    </row>
    <row r="129" spans="1:2">
      <c r="A129" s="2" t="s">
        <v>27</v>
      </c>
      <c r="B129" s="2" t="s">
        <v>22</v>
      </c>
    </row>
    <row r="130" spans="1:2">
      <c r="A130" s="2" t="s">
        <v>27</v>
      </c>
      <c r="B130" s="2" t="s">
        <v>22</v>
      </c>
    </row>
    <row r="131" spans="1:2">
      <c r="A131" s="2" t="s">
        <v>27</v>
      </c>
      <c r="B131" s="2" t="s">
        <v>22</v>
      </c>
    </row>
    <row r="132" spans="1:2">
      <c r="A132" s="2" t="s">
        <v>27</v>
      </c>
      <c r="B132" s="2" t="s">
        <v>22</v>
      </c>
    </row>
    <row r="133" spans="1:2">
      <c r="A133" s="2" t="s">
        <v>27</v>
      </c>
      <c r="B133" s="2" t="s">
        <v>22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0"/>
  <sheetViews>
    <sheetView topLeftCell="C1" workbookViewId="0">
      <selection activeCell="M1" sqref="M$1:N$1048576"/>
    </sheetView>
  </sheetViews>
  <sheetFormatPr defaultColWidth="9" defaultRowHeight="14.4"/>
  <cols>
    <col min="2" max="2" width="12.7777777777778" customWidth="1"/>
  </cols>
  <sheetData>
    <row r="1" spans="1:14">
      <c r="A1">
        <v>-5</v>
      </c>
      <c r="B1">
        <f>_xlfn.NORM.DIST(A1,$F$1,$F$2,FALSE)</f>
        <v>0.002215924205969</v>
      </c>
      <c r="E1" t="s">
        <v>28</v>
      </c>
      <c r="F1">
        <v>1</v>
      </c>
      <c r="M1">
        <v>0</v>
      </c>
      <c r="N1" s="1">
        <f>_xlfn.CHISQ.DIST(M1,$L$2,$L$3)</f>
        <v>0</v>
      </c>
    </row>
    <row r="2" spans="1:14">
      <c r="A2">
        <v>-4.5</v>
      </c>
      <c r="B2">
        <f t="shared" ref="B2:B21" si="0">_xlfn.NORM.DIST(A2,$F$1,$F$2,FALSE)</f>
        <v>0.00454678125079553</v>
      </c>
      <c r="E2" t="s">
        <v>29</v>
      </c>
      <c r="F2">
        <v>2</v>
      </c>
      <c r="K2" t="s">
        <v>14</v>
      </c>
      <c r="L2">
        <v>3</v>
      </c>
      <c r="M2">
        <v>0.5</v>
      </c>
      <c r="N2" s="1">
        <f t="shared" ref="N2:N65" si="1">_xlfn.CHISQ.DIST(M2,$L$2,$L$3)</f>
        <v>0.219695644733861</v>
      </c>
    </row>
    <row r="3" spans="1:14">
      <c r="A3">
        <v>-4</v>
      </c>
      <c r="B3">
        <f t="shared" si="0"/>
        <v>0.00876415024678427</v>
      </c>
      <c r="K3" t="s">
        <v>30</v>
      </c>
      <c r="L3" t="b">
        <v>0</v>
      </c>
      <c r="M3">
        <v>1</v>
      </c>
      <c r="N3" s="1">
        <f t="shared" si="1"/>
        <v>0.241970724519143</v>
      </c>
    </row>
    <row r="4" spans="1:14">
      <c r="A4">
        <v>-3.5</v>
      </c>
      <c r="B4">
        <f t="shared" si="0"/>
        <v>0.0158698259178337</v>
      </c>
      <c r="M4">
        <v>1.5</v>
      </c>
      <c r="N4" s="1">
        <f t="shared" si="1"/>
        <v>0.230799484208183</v>
      </c>
    </row>
    <row r="5" spans="1:14">
      <c r="A5">
        <v>-3</v>
      </c>
      <c r="B5">
        <f t="shared" si="0"/>
        <v>0.026995483256594</v>
      </c>
      <c r="M5">
        <v>2</v>
      </c>
      <c r="N5" s="1">
        <f t="shared" si="1"/>
        <v>0.207553748710297</v>
      </c>
    </row>
    <row r="6" spans="1:14">
      <c r="A6">
        <v>-2.5</v>
      </c>
      <c r="B6">
        <f t="shared" si="0"/>
        <v>0.0431386594132558</v>
      </c>
      <c r="M6">
        <v>2.5</v>
      </c>
      <c r="N6" s="1">
        <f t="shared" si="1"/>
        <v>0.180722392668181</v>
      </c>
    </row>
    <row r="7" spans="1:14">
      <c r="A7">
        <v>-2</v>
      </c>
      <c r="B7">
        <f t="shared" si="0"/>
        <v>0.0647587978329459</v>
      </c>
      <c r="M7">
        <v>3</v>
      </c>
      <c r="N7" s="1">
        <f t="shared" si="1"/>
        <v>0.154180329803769</v>
      </c>
    </row>
    <row r="8" spans="1:14">
      <c r="A8">
        <v>-1.5</v>
      </c>
      <c r="B8">
        <f t="shared" si="0"/>
        <v>0.091324542694511</v>
      </c>
      <c r="M8">
        <v>3.5</v>
      </c>
      <c r="N8" s="1">
        <f t="shared" si="1"/>
        <v>0.129696645833118</v>
      </c>
    </row>
    <row r="9" spans="1:14">
      <c r="A9">
        <v>-1</v>
      </c>
      <c r="B9">
        <f t="shared" si="0"/>
        <v>0.120985362259572</v>
      </c>
      <c r="M9">
        <v>4</v>
      </c>
      <c r="N9" s="1">
        <f t="shared" si="1"/>
        <v>0.107981933026376</v>
      </c>
    </row>
    <row r="10" spans="1:14">
      <c r="A10">
        <v>-0.5</v>
      </c>
      <c r="B10">
        <f t="shared" si="0"/>
        <v>0.150568716077402</v>
      </c>
      <c r="M10">
        <v>4.5</v>
      </c>
      <c r="N10" s="1">
        <f t="shared" si="1"/>
        <v>0.0891977169177221</v>
      </c>
    </row>
    <row r="11" spans="1:14">
      <c r="A11">
        <v>0</v>
      </c>
      <c r="B11">
        <f t="shared" si="0"/>
        <v>0.17603266338215</v>
      </c>
      <c r="M11">
        <v>5</v>
      </c>
      <c r="N11" s="1">
        <f t="shared" si="1"/>
        <v>0.0732249128096325</v>
      </c>
    </row>
    <row r="12" spans="1:14">
      <c r="A12">
        <v>0.5</v>
      </c>
      <c r="B12">
        <f t="shared" si="0"/>
        <v>0.193334058401425</v>
      </c>
      <c r="M12">
        <v>5.5</v>
      </c>
      <c r="N12" s="1">
        <f t="shared" si="1"/>
        <v>0.0598110718550573</v>
      </c>
    </row>
    <row r="13" spans="1:14">
      <c r="A13">
        <v>1</v>
      </c>
      <c r="B13">
        <f t="shared" si="0"/>
        <v>0.199471140200716</v>
      </c>
      <c r="M13">
        <v>6</v>
      </c>
      <c r="N13" s="1">
        <f t="shared" si="1"/>
        <v>0.0486521733296415</v>
      </c>
    </row>
    <row r="14" spans="1:14">
      <c r="A14">
        <v>1.5</v>
      </c>
      <c r="B14">
        <f t="shared" si="0"/>
        <v>0.193334058401425</v>
      </c>
      <c r="M14">
        <v>6.5</v>
      </c>
      <c r="N14" s="1">
        <f t="shared" si="1"/>
        <v>0.0394375273667488</v>
      </c>
    </row>
    <row r="15" spans="1:14">
      <c r="A15">
        <v>2</v>
      </c>
      <c r="B15">
        <f t="shared" si="0"/>
        <v>0.17603266338215</v>
      </c>
      <c r="M15">
        <v>7</v>
      </c>
      <c r="N15" s="1">
        <f t="shared" si="1"/>
        <v>0.0318734004514812</v>
      </c>
    </row>
    <row r="16" spans="1:14">
      <c r="A16">
        <v>2.5</v>
      </c>
      <c r="B16">
        <f t="shared" si="0"/>
        <v>0.150568716077402</v>
      </c>
      <c r="M16">
        <v>7.5</v>
      </c>
      <c r="N16" s="1">
        <f t="shared" si="1"/>
        <v>0.0256942763260461</v>
      </c>
    </row>
    <row r="17" spans="1:14">
      <c r="A17">
        <v>3</v>
      </c>
      <c r="B17">
        <f t="shared" si="0"/>
        <v>0.120985362259572</v>
      </c>
      <c r="M17">
        <v>8</v>
      </c>
      <c r="N17" s="1">
        <f t="shared" si="1"/>
        <v>0.0206669853540921</v>
      </c>
    </row>
    <row r="18" spans="1:14">
      <c r="A18">
        <v>3.5</v>
      </c>
      <c r="B18">
        <f t="shared" si="0"/>
        <v>0.091324542694511</v>
      </c>
      <c r="M18">
        <v>8.5</v>
      </c>
      <c r="N18" s="1">
        <f t="shared" si="1"/>
        <v>0.0165908249304416</v>
      </c>
    </row>
    <row r="19" spans="1:14">
      <c r="A19">
        <v>4</v>
      </c>
      <c r="B19">
        <f t="shared" si="0"/>
        <v>0.0647587978329459</v>
      </c>
      <c r="M19">
        <v>9</v>
      </c>
      <c r="N19" s="1">
        <f t="shared" si="1"/>
        <v>0.013295545235814</v>
      </c>
    </row>
    <row r="20" spans="1:14">
      <c r="A20">
        <v>4.5</v>
      </c>
      <c r="B20">
        <f t="shared" si="0"/>
        <v>0.0431386594132558</v>
      </c>
      <c r="M20">
        <v>9.5</v>
      </c>
      <c r="N20" s="1">
        <f t="shared" si="1"/>
        <v>0.0106383207273499</v>
      </c>
    </row>
    <row r="21" spans="1:14">
      <c r="A21">
        <v>5</v>
      </c>
      <c r="B21">
        <f t="shared" si="0"/>
        <v>0.026995483256594</v>
      </c>
      <c r="M21">
        <v>10</v>
      </c>
      <c r="N21" s="1">
        <f t="shared" si="1"/>
        <v>0.00850036660252035</v>
      </c>
    </row>
    <row r="22" spans="1:14">
      <c r="M22">
        <v>10.5</v>
      </c>
      <c r="N22" s="1">
        <f t="shared" si="1"/>
        <v>0.00678357584955933</v>
      </c>
    </row>
    <row r="23" spans="1:14">
      <c r="M23">
        <v>11</v>
      </c>
      <c r="N23" s="1">
        <f t="shared" si="1"/>
        <v>0.00540737835063384</v>
      </c>
    </row>
    <row r="24" spans="1:14">
      <c r="M24">
        <v>11.5</v>
      </c>
      <c r="N24" s="1">
        <f t="shared" si="1"/>
        <v>0.00430591760341102</v>
      </c>
    </row>
    <row r="25" spans="1:14">
      <c r="M25">
        <v>12</v>
      </c>
      <c r="N25" s="1">
        <f t="shared" si="1"/>
        <v>0.00342557750011026</v>
      </c>
    </row>
    <row r="26" spans="1:14">
      <c r="M26">
        <v>12.5</v>
      </c>
      <c r="N26" s="1">
        <f t="shared" si="1"/>
        <v>0.00272285528794089</v>
      </c>
    </row>
    <row r="27" spans="1:14">
      <c r="M27">
        <v>13</v>
      </c>
      <c r="N27" s="1">
        <f t="shared" si="1"/>
        <v>0.00216255723063717</v>
      </c>
    </row>
    <row r="28" spans="1:14">
      <c r="M28">
        <v>13.5</v>
      </c>
      <c r="N28" s="1">
        <f t="shared" si="1"/>
        <v>0.00171628417156352</v>
      </c>
    </row>
    <row r="29" spans="1:14">
      <c r="M29">
        <v>14</v>
      </c>
      <c r="N29" s="1">
        <f t="shared" si="1"/>
        <v>0.0013611710706428</v>
      </c>
    </row>
    <row r="30" spans="1:14">
      <c r="M30">
        <v>14.5</v>
      </c>
      <c r="N30" s="1">
        <f t="shared" si="1"/>
        <v>0.00107884504969462</v>
      </c>
    </row>
    <row r="31" spans="1:14">
      <c r="M31">
        <v>15</v>
      </c>
      <c r="N31" s="1">
        <f t="shared" si="1"/>
        <v>0.000854568894921411</v>
      </c>
    </row>
    <row r="32" spans="1:14">
      <c r="M32">
        <v>15.5</v>
      </c>
      <c r="N32" s="1">
        <f t="shared" si="1"/>
        <v>0.000676540313234938</v>
      </c>
    </row>
    <row r="33" spans="13:14">
      <c r="M33">
        <v>16</v>
      </c>
      <c r="N33" s="1">
        <f t="shared" si="1"/>
        <v>0.000535320903059542</v>
      </c>
    </row>
    <row r="34" spans="13:14">
      <c r="M34">
        <v>16.5</v>
      </c>
      <c r="N34" s="1">
        <f t="shared" si="1"/>
        <v>0.000423372419145591</v>
      </c>
    </row>
    <row r="35" spans="13:14">
      <c r="M35">
        <v>17</v>
      </c>
      <c r="N35" s="1">
        <f t="shared" si="1"/>
        <v>0.000334681286967664</v>
      </c>
    </row>
    <row r="36" spans="13:14">
      <c r="M36">
        <v>17.5</v>
      </c>
      <c r="N36" s="1">
        <f t="shared" si="1"/>
        <v>0.000264455359850846</v>
      </c>
    </row>
    <row r="37" spans="13:14">
      <c r="M37">
        <v>18</v>
      </c>
      <c r="N37" s="1">
        <f t="shared" si="1"/>
        <v>0.000208879577920122</v>
      </c>
    </row>
    <row r="38" spans="13:14">
      <c r="M38">
        <v>18.5</v>
      </c>
      <c r="N38" s="1">
        <f t="shared" si="1"/>
        <v>0.000164919485939066</v>
      </c>
    </row>
    <row r="39" spans="13:14">
      <c r="M39">
        <v>19</v>
      </c>
      <c r="N39" s="1">
        <f t="shared" si="1"/>
        <v>0.000130163521062019</v>
      </c>
    </row>
    <row r="40" spans="13:14">
      <c r="M40">
        <v>19.5</v>
      </c>
      <c r="N40" s="1">
        <f t="shared" si="1"/>
        <v>0.000102696625396085</v>
      </c>
    </row>
    <row r="41" spans="13:14">
      <c r="M41">
        <v>20</v>
      </c>
      <c r="N41" s="1">
        <f t="shared" si="1"/>
        <v>8.09991095608912e-5</v>
      </c>
    </row>
    <row r="42" spans="13:14">
      <c r="M42">
        <v>20.5</v>
      </c>
      <c r="N42" s="1">
        <f t="shared" si="1"/>
        <v>6.38658294416664e-5</v>
      </c>
    </row>
    <row r="43" spans="13:14">
      <c r="M43">
        <v>21</v>
      </c>
      <c r="N43" s="1">
        <f t="shared" si="1"/>
        <v>5.03416740298719e-5</v>
      </c>
    </row>
    <row r="44" spans="13:14">
      <c r="M44">
        <v>21.5</v>
      </c>
      <c r="N44" s="1">
        <f t="shared" si="1"/>
        <v>3.96701292371433e-5</v>
      </c>
    </row>
    <row r="45" spans="13:14">
      <c r="M45">
        <v>22</v>
      </c>
      <c r="N45" s="1">
        <f t="shared" si="1"/>
        <v>3.12523086870373e-5</v>
      </c>
    </row>
    <row r="46" spans="13:14">
      <c r="M46">
        <v>22.5</v>
      </c>
      <c r="N46" s="1">
        <f t="shared" si="1"/>
        <v>2.46143518009309e-5</v>
      </c>
    </row>
    <row r="47" spans="13:14">
      <c r="M47">
        <v>23</v>
      </c>
      <c r="N47" s="1">
        <f t="shared" si="1"/>
        <v>1.93815025171905e-5</v>
      </c>
    </row>
    <row r="48" spans="13:14">
      <c r="M48">
        <v>23.5</v>
      </c>
      <c r="N48" s="1">
        <f t="shared" si="1"/>
        <v>1.52575160188294e-5</v>
      </c>
    </row>
    <row r="49" spans="13:14">
      <c r="M49">
        <v>24</v>
      </c>
      <c r="N49" s="1">
        <f t="shared" si="1"/>
        <v>1.20083103580045e-5</v>
      </c>
    </row>
    <row r="50" spans="13:14">
      <c r="M50">
        <v>24.5</v>
      </c>
      <c r="N50" s="1">
        <f t="shared" si="1"/>
        <v>9.44899686042337e-6</v>
      </c>
    </row>
    <row r="51" spans="13:14">
      <c r="M51">
        <v>25</v>
      </c>
      <c r="N51" s="1">
        <f t="shared" si="1"/>
        <v>7.43359757367149e-6</v>
      </c>
    </row>
    <row r="52" spans="13:14">
      <c r="M52">
        <v>25.5</v>
      </c>
      <c r="N52" s="1">
        <f t="shared" si="1"/>
        <v>5.84689792190842e-6</v>
      </c>
    </row>
    <row r="53" spans="13:14">
      <c r="M53">
        <v>26</v>
      </c>
      <c r="N53" s="1">
        <f t="shared" si="1"/>
        <v>4.59799479244311e-6</v>
      </c>
    </row>
    <row r="54" spans="13:14">
      <c r="M54">
        <v>26.5</v>
      </c>
      <c r="N54" s="1">
        <f t="shared" si="1"/>
        <v>3.61518992134532e-6</v>
      </c>
    </row>
    <row r="55" spans="13:14">
      <c r="M55">
        <v>27</v>
      </c>
      <c r="N55" s="1">
        <f t="shared" si="1"/>
        <v>2.84195006106161e-6</v>
      </c>
    </row>
    <row r="56" spans="13:14">
      <c r="M56">
        <v>27.5</v>
      </c>
      <c r="N56" s="1">
        <f t="shared" si="1"/>
        <v>2.23371256177999e-6</v>
      </c>
    </row>
    <row r="57" spans="13:14">
      <c r="M57">
        <v>28</v>
      </c>
      <c r="N57" s="1">
        <f t="shared" si="1"/>
        <v>1.75536055427284e-6</v>
      </c>
    </row>
    <row r="58" spans="13:14">
      <c r="M58">
        <v>28.5</v>
      </c>
      <c r="N58" s="1">
        <f t="shared" si="1"/>
        <v>1.37922820143841e-6</v>
      </c>
    </row>
    <row r="59" spans="13:14">
      <c r="M59">
        <v>29</v>
      </c>
      <c r="N59" s="1">
        <f t="shared" si="1"/>
        <v>1.08352535176799e-6</v>
      </c>
    </row>
    <row r="60" spans="13:14">
      <c r="M60">
        <v>29.5</v>
      </c>
      <c r="N60" s="1">
        <f t="shared" si="1"/>
        <v>8.51093876299409e-7</v>
      </c>
    </row>
    <row r="61" spans="13:14">
      <c r="M61">
        <v>30</v>
      </c>
      <c r="N61" s="1">
        <f t="shared" si="1"/>
        <v>6.6842620035749e-7</v>
      </c>
    </row>
    <row r="62" spans="13:14">
      <c r="M62">
        <v>30.5</v>
      </c>
      <c r="N62" s="1">
        <f t="shared" si="1"/>
        <v>5.24891012366556e-7</v>
      </c>
    </row>
    <row r="63" spans="13:14">
      <c r="M63">
        <v>31</v>
      </c>
      <c r="N63" s="1">
        <f t="shared" si="1"/>
        <v>4.12122611574571e-7</v>
      </c>
    </row>
    <row r="64" spans="13:14">
      <c r="M64">
        <v>31.5</v>
      </c>
      <c r="N64" s="1">
        <f t="shared" si="1"/>
        <v>3.23539457344926e-7</v>
      </c>
    </row>
    <row r="65" spans="13:14">
      <c r="M65">
        <v>32</v>
      </c>
      <c r="N65" s="1">
        <f t="shared" si="1"/>
        <v>2.53964693437331e-7</v>
      </c>
    </row>
    <row r="66" spans="13:14">
      <c r="M66">
        <v>32.5</v>
      </c>
      <c r="N66" s="1">
        <f t="shared" ref="N66:N90" si="2">_xlfn.CHISQ.DIST(M66,$L$2,$L$3)</f>
        <v>1.9932713079983e-7</v>
      </c>
    </row>
    <row r="67" spans="13:14">
      <c r="M67">
        <v>33</v>
      </c>
      <c r="N67" s="1">
        <f t="shared" si="2"/>
        <v>1.56425691805257e-7</v>
      </c>
    </row>
    <row r="68" spans="13:14">
      <c r="M68">
        <v>33.5</v>
      </c>
      <c r="N68" s="1">
        <f t="shared" si="2"/>
        <v>1.22743894135106e-7</v>
      </c>
    </row>
    <row r="69" spans="13:14">
      <c r="M69">
        <v>34</v>
      </c>
      <c r="N69" s="1">
        <f t="shared" si="2"/>
        <v>9.63037795839334e-8</v>
      </c>
    </row>
    <row r="70" spans="13:14">
      <c r="M70">
        <v>34.5</v>
      </c>
      <c r="N70" s="1">
        <f t="shared" si="2"/>
        <v>7.55509275361902e-8</v>
      </c>
    </row>
    <row r="71" spans="13:14">
      <c r="M71">
        <v>35</v>
      </c>
      <c r="N71" s="1">
        <f t="shared" si="2"/>
        <v>5.9263958246318e-8</v>
      </c>
    </row>
    <row r="72" spans="13:14">
      <c r="M72">
        <v>35.5</v>
      </c>
      <c r="N72" s="1">
        <f t="shared" si="2"/>
        <v>4.64833252720565e-8</v>
      </c>
    </row>
    <row r="73" spans="13:14">
      <c r="M73">
        <v>36</v>
      </c>
      <c r="N73" s="1">
        <f t="shared" si="2"/>
        <v>3.64552970989397e-8</v>
      </c>
    </row>
    <row r="74" spans="13:14">
      <c r="M74">
        <v>36.5</v>
      </c>
      <c r="N74" s="1">
        <f t="shared" si="2"/>
        <v>2.8587896645368e-8</v>
      </c>
    </row>
    <row r="75" spans="13:14">
      <c r="M75">
        <v>37</v>
      </c>
      <c r="N75" s="1">
        <f t="shared" si="2"/>
        <v>2.24162526402613e-8</v>
      </c>
    </row>
    <row r="76" spans="13:14">
      <c r="M76">
        <v>37.5</v>
      </c>
      <c r="N76" s="1">
        <f t="shared" si="2"/>
        <v>1.75753573479037e-8</v>
      </c>
    </row>
    <row r="77" spans="13:14">
      <c r="M77">
        <v>38</v>
      </c>
      <c r="N77" s="1">
        <f t="shared" si="2"/>
        <v>1.37786512523177e-8</v>
      </c>
    </row>
    <row r="78" spans="13:14">
      <c r="M78">
        <v>38.5</v>
      </c>
      <c r="N78" s="1">
        <f t="shared" si="2"/>
        <v>1.08011912004788e-8</v>
      </c>
    </row>
    <row r="79" spans="13:14">
      <c r="M79">
        <v>39</v>
      </c>
      <c r="N79" s="1">
        <f t="shared" si="2"/>
        <v>8.46642318111269e-9</v>
      </c>
    </row>
    <row r="80" spans="13:14">
      <c r="M80">
        <v>39.5</v>
      </c>
      <c r="N80" s="1">
        <f t="shared" si="2"/>
        <v>6.63578942558899e-9</v>
      </c>
    </row>
    <row r="81" spans="13:14">
      <c r="M81">
        <v>40</v>
      </c>
      <c r="N81" s="1">
        <f t="shared" si="2"/>
        <v>5.20056373765439e-9</v>
      </c>
    </row>
    <row r="82" spans="13:14">
      <c r="M82">
        <v>40.5</v>
      </c>
      <c r="N82" s="1">
        <f t="shared" si="2"/>
        <v>4.07543826579456e-9</v>
      </c>
    </row>
    <row r="83" spans="13:14">
      <c r="M83">
        <v>41</v>
      </c>
      <c r="N83" s="1">
        <f t="shared" si="2"/>
        <v>3.19348672488565e-9</v>
      </c>
    </row>
    <row r="84" spans="13:14">
      <c r="M84">
        <v>41.5</v>
      </c>
      <c r="N84" s="1">
        <f t="shared" si="2"/>
        <v>2.50220918924354e-9</v>
      </c>
    </row>
    <row r="85" spans="13:14">
      <c r="M85">
        <v>42</v>
      </c>
      <c r="N85" s="1">
        <f t="shared" si="2"/>
        <v>1.9604266201194e-9</v>
      </c>
    </row>
    <row r="86" spans="13:14">
      <c r="M86">
        <v>42.5</v>
      </c>
      <c r="N86" s="1">
        <f t="shared" si="2"/>
        <v>1.53584288595947e-9</v>
      </c>
    </row>
    <row r="87" spans="13:14">
      <c r="M87">
        <v>43</v>
      </c>
      <c r="N87" s="1">
        <f t="shared" si="2"/>
        <v>1.20313104342576e-9</v>
      </c>
    </row>
    <row r="88" spans="13:14">
      <c r="M88">
        <v>43.5</v>
      </c>
      <c r="N88" s="1">
        <f t="shared" si="2"/>
        <v>9.42431324835336e-10</v>
      </c>
    </row>
    <row r="89" spans="13:14">
      <c r="M89">
        <v>44</v>
      </c>
      <c r="N89" s="1">
        <f t="shared" si="2"/>
        <v>7.3817239854413e-10</v>
      </c>
    </row>
    <row r="90" spans="13:14">
      <c r="M90">
        <v>44.5</v>
      </c>
      <c r="N90" s="1">
        <f t="shared" si="2"/>
        <v>5.78146430937859e-10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UoA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Exercise-01</vt:lpstr>
      <vt:lpstr>Exercise-02</vt:lpstr>
      <vt:lpstr>Exercise-03</vt:lpstr>
      <vt:lpstr>Exercise-04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Curran</dc:creator>
  <cp:lastModifiedBy>邓聪</cp:lastModifiedBy>
  <dcterms:created xsi:type="dcterms:W3CDTF">2013-03-04T00:49:00Z</dcterms:created>
  <dcterms:modified xsi:type="dcterms:W3CDTF">2026-03-09T08:01:30Z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08BFAA07C60B4DCEB102F1C39AFABCA2_12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